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p\Desktop\Projects\BDM Project\VIVA\BDM\"/>
    </mc:Choice>
  </mc:AlternateContent>
  <xr:revisionPtr revIDLastSave="0" documentId="13_ncr:1_{9A8E939C-F139-4504-B0FE-4ED69FF87676}" xr6:coauthVersionLast="47" xr6:coauthVersionMax="47" xr10:uidLastSave="{00000000-0000-0000-0000-000000000000}"/>
  <bookViews>
    <workbookView xWindow="-108" yWindow="-108" windowWidth="23256" windowHeight="12456" tabRatio="747" firstSheet="2" activeTab="2" xr2:uid="{C433A8C1-F2B7-4F01-A8F9-CD41DC3A13C7}"/>
  </bookViews>
  <sheets>
    <sheet name="Meta Data" sheetId="15" r:id="rId1"/>
    <sheet name="January" sheetId="1" r:id="rId2"/>
    <sheet name="February" sheetId="2" r:id="rId3"/>
    <sheet name="March" sheetId="3" r:id="rId4"/>
    <sheet name="April" sheetId="4" r:id="rId5"/>
    <sheet name="May" sheetId="5" r:id="rId6"/>
    <sheet name="June" sheetId="6" r:id="rId7"/>
    <sheet name="July" sheetId="7" r:id="rId8"/>
    <sheet name="August" sheetId="8" r:id="rId9"/>
    <sheet name="September" sheetId="9" r:id="rId10"/>
    <sheet name="October" sheetId="10" r:id="rId11"/>
    <sheet name="November" sheetId="11" r:id="rId12"/>
    <sheet name="December" sheetId="12" r:id="rId13"/>
    <sheet name="MID TERM" sheetId="13" r:id="rId14"/>
    <sheet name="FINAL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4" l="1"/>
  <c r="D37" i="12"/>
  <c r="D36" i="11"/>
  <c r="D37" i="10"/>
  <c r="D36" i="9"/>
  <c r="D37" i="8"/>
  <c r="D36" i="8"/>
  <c r="D37" i="7"/>
  <c r="D36" i="6"/>
  <c r="D37" i="5"/>
  <c r="D36" i="4"/>
  <c r="D37" i="3"/>
  <c r="D34" i="2"/>
  <c r="D27" i="1"/>
  <c r="F4" i="14"/>
  <c r="F5" i="14"/>
  <c r="F6" i="14"/>
  <c r="F7" i="14"/>
  <c r="F8" i="14"/>
  <c r="F9" i="14"/>
  <c r="F10" i="14"/>
  <c r="F11" i="14"/>
  <c r="F12" i="14"/>
  <c r="F13" i="14"/>
  <c r="F14" i="14"/>
  <c r="F3" i="14"/>
  <c r="C7" i="14"/>
  <c r="D7" i="14" s="1"/>
  <c r="D4" i="14"/>
  <c r="D5" i="14"/>
  <c r="D6" i="14"/>
  <c r="D8" i="14"/>
  <c r="D9" i="14"/>
  <c r="D10" i="14"/>
  <c r="D11" i="14"/>
  <c r="D12" i="14"/>
  <c r="D13" i="14"/>
  <c r="D14" i="14"/>
  <c r="D3" i="14"/>
  <c r="C8" i="14"/>
  <c r="C6" i="14"/>
  <c r="C5" i="14"/>
  <c r="C4" i="14"/>
  <c r="C3" i="14"/>
  <c r="B36" i="12"/>
  <c r="B35" i="11"/>
  <c r="B36" i="10"/>
  <c r="B35" i="9"/>
  <c r="B36" i="8"/>
  <c r="B36" i="7"/>
  <c r="B35" i="6"/>
  <c r="B36" i="5"/>
  <c r="B35" i="4"/>
  <c r="B36" i="3"/>
  <c r="B33" i="2"/>
  <c r="B26" i="1"/>
  <c r="D33" i="2"/>
  <c r="D36" i="12"/>
  <c r="E36" i="12"/>
  <c r="D35" i="11"/>
  <c r="E35" i="11"/>
  <c r="D36" i="10"/>
  <c r="E36" i="10"/>
  <c r="D35" i="9"/>
  <c r="E35" i="9"/>
  <c r="E36" i="8"/>
  <c r="D36" i="7"/>
  <c r="E36" i="7"/>
  <c r="D35" i="6"/>
  <c r="E35" i="6"/>
  <c r="D36" i="5"/>
  <c r="E36" i="5"/>
  <c r="D35" i="4"/>
  <c r="E35" i="4"/>
  <c r="D36" i="3"/>
  <c r="E36" i="3"/>
  <c r="E33" i="2"/>
  <c r="D26" i="1"/>
  <c r="E26" i="1"/>
  <c r="C36" i="12"/>
  <c r="C35" i="11"/>
  <c r="C36" i="10"/>
  <c r="C35" i="9"/>
  <c r="C36" i="8"/>
  <c r="C36" i="7"/>
  <c r="C35" i="6"/>
  <c r="C36" i="5"/>
  <c r="C35" i="4"/>
  <c r="C36" i="3"/>
  <c r="C33" i="2"/>
  <c r="C26" i="1"/>
  <c r="C35" i="12"/>
  <c r="D35" i="12"/>
  <c r="E35" i="12"/>
  <c r="B35" i="12"/>
  <c r="C34" i="11"/>
  <c r="D34" i="11"/>
  <c r="E34" i="11"/>
  <c r="B34" i="11"/>
  <c r="C35" i="10"/>
  <c r="D35" i="10"/>
  <c r="E35" i="10"/>
  <c r="B35" i="10"/>
  <c r="C34" i="9"/>
  <c r="D34" i="9"/>
  <c r="E34" i="9"/>
  <c r="B34" i="9"/>
  <c r="C35" i="8"/>
  <c r="D35" i="8"/>
  <c r="E35" i="8"/>
  <c r="B35" i="8"/>
  <c r="C35" i="7"/>
  <c r="D35" i="7"/>
  <c r="E35" i="7"/>
  <c r="B35" i="7"/>
  <c r="C34" i="6"/>
  <c r="D34" i="6"/>
  <c r="E34" i="6"/>
  <c r="B34" i="6"/>
  <c r="C35" i="5"/>
  <c r="D35" i="5"/>
  <c r="E35" i="5"/>
  <c r="B35" i="5"/>
  <c r="C34" i="4"/>
  <c r="D34" i="4"/>
  <c r="E34" i="4"/>
  <c r="B34" i="4"/>
  <c r="C35" i="3"/>
  <c r="D35" i="3"/>
  <c r="E35" i="3"/>
  <c r="B35" i="3"/>
  <c r="C32" i="2"/>
  <c r="D32" i="2"/>
  <c r="E32" i="2"/>
  <c r="B32" i="2"/>
  <c r="C25" i="1"/>
  <c r="D25" i="1"/>
  <c r="E25" i="1"/>
  <c r="B25" i="1"/>
  <c r="B33" i="4"/>
  <c r="C34" i="12"/>
  <c r="D34" i="12"/>
  <c r="E34" i="12"/>
  <c r="C33" i="11"/>
  <c r="D33" i="11"/>
  <c r="E33" i="11"/>
  <c r="C34" i="10"/>
  <c r="D34" i="10"/>
  <c r="E34" i="10"/>
  <c r="C33" i="9"/>
  <c r="D33" i="9"/>
  <c r="E33" i="9"/>
  <c r="C34" i="8"/>
  <c r="D34" i="8"/>
  <c r="E34" i="8"/>
  <c r="C34" i="7"/>
  <c r="D34" i="7"/>
  <c r="E34" i="7"/>
  <c r="C33" i="6"/>
  <c r="D33" i="6"/>
  <c r="E33" i="6"/>
  <c r="C34" i="5"/>
  <c r="D34" i="5"/>
  <c r="E34" i="5"/>
  <c r="C33" i="4"/>
  <c r="D33" i="4"/>
  <c r="E33" i="4"/>
  <c r="C34" i="3"/>
  <c r="D34" i="3"/>
  <c r="E34" i="3"/>
  <c r="C31" i="2"/>
  <c r="D31" i="2"/>
  <c r="E31" i="2"/>
  <c r="C24" i="1"/>
  <c r="D24" i="1"/>
  <c r="E24" i="1"/>
  <c r="B34" i="12"/>
  <c r="B33" i="11"/>
  <c r="B34" i="10"/>
  <c r="B33" i="9"/>
  <c r="B34" i="8"/>
  <c r="B34" i="7"/>
  <c r="B33" i="6"/>
  <c r="B34" i="5"/>
  <c r="B34" i="3"/>
  <c r="B31" i="2"/>
  <c r="B24" i="1"/>
</calcChain>
</file>

<file path=xl/sharedStrings.xml><?xml version="1.0" encoding="utf-8"?>
<sst xmlns="http://schemas.openxmlformats.org/spreadsheetml/2006/main" count="724" uniqueCount="128">
  <si>
    <t>Date</t>
  </si>
  <si>
    <t>Rooms_Occupied</t>
  </si>
  <si>
    <t>Total_Revenue</t>
  </si>
  <si>
    <t>Extra_Bed_Count</t>
  </si>
  <si>
    <t>Cold_Drinks_Count</t>
  </si>
  <si>
    <t>Stay_Type</t>
  </si>
  <si>
    <t>Remarks</t>
  </si>
  <si>
    <t>Business</t>
  </si>
  <si>
    <t>Regular</t>
  </si>
  <si>
    <t>Solo</t>
  </si>
  <si>
    <t>Group</t>
  </si>
  <si>
    <t>Family</t>
  </si>
  <si>
    <t>2-day stay</t>
  </si>
  <si>
    <t>Function</t>
  </si>
  <si>
    <t>Total_Revenue (₹)</t>
  </si>
  <si>
    <t>Low occupancy</t>
  </si>
  <si>
    <t>Mixed continuous stay</t>
  </si>
  <si>
    <t>MMT</t>
  </si>
  <si>
    <t>None</t>
  </si>
  <si>
    <t>No stay</t>
  </si>
  <si>
    <t>No bookings</t>
  </si>
  <si>
    <t>Short stay</t>
  </si>
  <si>
    <t>No activity</t>
  </si>
  <si>
    <t>Late check-in</t>
  </si>
  <si>
    <t>Function continues</t>
  </si>
  <si>
    <t>Night + afternoon</t>
  </si>
  <si>
    <t>Continuous stays</t>
  </si>
  <si>
    <t>Continued booking</t>
  </si>
  <si>
    <t>24-hour stay</t>
  </si>
  <si>
    <t>Room 7 early check-in</t>
  </si>
  <si>
    <t>High occupancy – multiple continues</t>
  </si>
  <si>
    <t>Room 9 change</t>
  </si>
  <si>
    <t>Morning bulk check-ins</t>
  </si>
  <si>
    <t>Room change + continues</t>
  </si>
  <si>
    <t>Sivakumar</t>
  </si>
  <si>
    <t>GLS broken</t>
  </si>
  <si>
    <t>Night + morning traffic</t>
  </si>
  <si>
    <t>Heavy continues</t>
  </si>
  <si>
    <t>Nithish</t>
  </si>
  <si>
    <t>MLA visit</t>
  </si>
  <si>
    <t>Big function</t>
  </si>
  <si>
    <t>Mixed MMT</t>
  </si>
  <si>
    <t>Evening function</t>
  </si>
  <si>
    <t>Padma Agencies</t>
  </si>
  <si>
    <t>Morning + Evening Function</t>
  </si>
  <si>
    <t>Multi-MMT Function</t>
  </si>
  <si>
    <t>Extra bed</t>
  </si>
  <si>
    <t>Cash</t>
  </si>
  <si>
    <t>Extra beds</t>
  </si>
  <si>
    <t>Working rooms</t>
  </si>
  <si>
    <t>High load</t>
  </si>
  <si>
    <t>Rotary Club</t>
  </si>
  <si>
    <t>Low traffic</t>
  </si>
  <si>
    <t>Bulk booking</t>
  </si>
  <si>
    <t>Bulk rooms</t>
  </si>
  <si>
    <t>Heavy bulk</t>
  </si>
  <si>
    <t>Heavy discount day</t>
  </si>
  <si>
    <t>Bulk</t>
  </si>
  <si>
    <t>Very low</t>
  </si>
  <si>
    <t>Barasala Function</t>
  </si>
  <si>
    <t>High tariff</t>
  </si>
  <si>
    <t>Low</t>
  </si>
  <si>
    <t>Month end</t>
  </si>
  <si>
    <t>Bulk stays</t>
  </si>
  <si>
    <t>Discount day</t>
  </si>
  <si>
    <t>Heavy discount</t>
  </si>
  <si>
    <t>Deep discount</t>
  </si>
  <si>
    <t>Clearance</t>
  </si>
  <si>
    <t>Off-season</t>
  </si>
  <si>
    <t>Normal</t>
  </si>
  <si>
    <t>Suite balance</t>
  </si>
  <si>
    <t>Discount</t>
  </si>
  <si>
    <t>Pending</t>
  </si>
  <si>
    <t>Wedding</t>
  </si>
  <si>
    <t>Functions</t>
  </si>
  <si>
    <t>Syamala</t>
  </si>
  <si>
    <t>Bank + fun</t>
  </si>
  <si>
    <t>Continuation</t>
  </si>
  <si>
    <t>Police</t>
  </si>
  <si>
    <t>Christmas</t>
  </si>
  <si>
    <t>ClearTrip</t>
  </si>
  <si>
    <t>New Year peak</t>
  </si>
  <si>
    <t xml:space="preserve">AVERAGES </t>
  </si>
  <si>
    <t>AVERAGES</t>
  </si>
  <si>
    <t>MONTH</t>
  </si>
  <si>
    <t>AVERAGE ROOM OCCUPANCY</t>
  </si>
  <si>
    <t>AVERAGE TOTAL REVENUE</t>
  </si>
  <si>
    <t>AVERAGE EXTRA BED COUNT</t>
  </si>
  <si>
    <t>AVERAGE COLD DRINKS COUNT</t>
  </si>
  <si>
    <t>STANDARD DEVIATION</t>
  </si>
  <si>
    <t>night check-ins</t>
  </si>
  <si>
    <t>ANALYSIS THROUGHOUT THE YEAR</t>
  </si>
  <si>
    <t>TOTAL REVENUE SUM</t>
  </si>
  <si>
    <t>SUM</t>
  </si>
  <si>
    <t>EXTRA BED SUM</t>
  </si>
  <si>
    <t>COOL DRINKS SUM</t>
  </si>
  <si>
    <t>TOTAL ROOMS OCCUPIED</t>
  </si>
  <si>
    <t xml:space="preserve">OCCUPANCY RATE </t>
  </si>
  <si>
    <t>TOTAL CAPACITY(TOTAL ROOMS * NO.OF DAYS)</t>
  </si>
  <si>
    <t>REVENUE FOR AVALIABILITY ROOMS(RevPAR)</t>
  </si>
  <si>
    <t>TOTAL ADD-ON SERVICES</t>
  </si>
  <si>
    <t>Correlation between rooms vs Add-on services</t>
  </si>
  <si>
    <t>Data Feature</t>
  </si>
  <si>
    <t>Description</t>
  </si>
  <si>
    <t>Data Type</t>
  </si>
  <si>
    <t>Units/Format</t>
  </si>
  <si>
    <t>The specific day the operational data was recorded.</t>
  </si>
  <si>
    <t>The total number of rooms sold or in use for the given day.</t>
  </si>
  <si>
    <t>Integer</t>
  </si>
  <si>
    <t>Rooms</t>
  </si>
  <si>
    <t>The total daily income generated from both room bookings and add-on services.</t>
  </si>
  <si>
    <t>Numerical</t>
  </si>
  <si>
    <t xml:space="preserve">Indian Rupees (₹) </t>
  </si>
  <si>
    <t>The number of additional beds requested and provided to guests as an add-on service.</t>
  </si>
  <si>
    <t>Count</t>
  </si>
  <si>
    <t>The total number of cold drinks sold to guests during their stay.</t>
  </si>
  <si>
    <t>Units/Bottles</t>
  </si>
  <si>
    <t>The classification of the guest's visit (e.g., Business, Family, Solo, Group).</t>
  </si>
  <si>
    <t>Categorical</t>
  </si>
  <si>
    <t>Text String</t>
  </si>
  <si>
    <t>Qualitative notes regarding specific events, booking types, or stay durations.</t>
  </si>
  <si>
    <t>Text</t>
  </si>
  <si>
    <t xml:space="preserve">MM-YYYY </t>
  </si>
  <si>
    <t>Dataset Characteristics</t>
  </si>
  <si>
    <r>
      <t>Time Frame</t>
    </r>
    <r>
      <rPr>
        <sz val="11"/>
        <color theme="1"/>
        <rFont val="Calibri"/>
        <family val="2"/>
        <scheme val="minor"/>
      </rPr>
      <t>: January 1, 2025, to December 31, 2025.</t>
    </r>
  </si>
  <si>
    <r>
      <t>Total Records</t>
    </r>
    <r>
      <rPr>
        <sz val="11"/>
        <color theme="1"/>
        <rFont val="Calibri"/>
        <family val="2"/>
        <scheme val="minor"/>
      </rPr>
      <t>: 365 daily entries.</t>
    </r>
  </si>
  <si>
    <r>
      <t>Missing Values</t>
    </r>
    <r>
      <rPr>
        <sz val="11"/>
        <color theme="1"/>
        <rFont val="Calibri"/>
        <family val="2"/>
        <scheme val="minor"/>
      </rPr>
      <t>: All missing values in add-on services (Extra Beds and Cold Drinks) were interpreted and recorded as zero to maintain statistical integrity.</t>
    </r>
  </si>
  <si>
    <r>
      <t>Total Available Capacity</t>
    </r>
    <r>
      <rPr>
        <sz val="11"/>
        <color theme="1"/>
        <rFont val="Calibri"/>
        <family val="2"/>
        <scheme val="minor"/>
      </rPr>
      <t>: 22 rooms per day.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</si>
</sst>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17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/>
    <xf numFmtId="0" fontId="3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Room Occupancy Trend</a:t>
            </a:r>
            <a:endParaRPr lang="en-US"/>
          </a:p>
        </c:rich>
      </c:tx>
      <c:layout>
        <c:manualLayout>
          <c:xMode val="edge"/>
          <c:yMode val="edge"/>
          <c:x val="0.31694432063916533"/>
          <c:y val="2.340823970037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'MID TERM'!$B$2</c:f>
              <c:strCache>
                <c:ptCount val="1"/>
                <c:pt idx="0">
                  <c:v>AVERAGE ROOM OCCUPANCY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'MID TERM'!$A$3:$A$14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'MID TERM'!$B$3:$B$14</c:f>
              <c:numCache>
                <c:formatCode>General</c:formatCode>
                <c:ptCount val="12"/>
                <c:pt idx="0">
                  <c:v>5.5238095238095237</c:v>
                </c:pt>
                <c:pt idx="1">
                  <c:v>5.9642857142857144</c:v>
                </c:pt>
                <c:pt idx="2">
                  <c:v>2.5161290322580645</c:v>
                </c:pt>
                <c:pt idx="3">
                  <c:v>9.6999999999999993</c:v>
                </c:pt>
                <c:pt idx="4">
                  <c:v>13.387096774193548</c:v>
                </c:pt>
                <c:pt idx="5">
                  <c:v>8.6</c:v>
                </c:pt>
                <c:pt idx="6">
                  <c:v>10.774193548387096</c:v>
                </c:pt>
                <c:pt idx="7">
                  <c:v>7.193548387096774</c:v>
                </c:pt>
                <c:pt idx="8">
                  <c:v>7.2</c:v>
                </c:pt>
                <c:pt idx="9">
                  <c:v>8.064516129032258</c:v>
                </c:pt>
                <c:pt idx="10">
                  <c:v>6.8666666666666663</c:v>
                </c:pt>
                <c:pt idx="11">
                  <c:v>6.870967741935484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C-4001-8E93-2F99D2070E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08814384"/>
        <c:axId val="808819664"/>
      </c:lineChart>
      <c:dateAx>
        <c:axId val="80881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  <a:r>
                  <a:rPr lang="en-IN" b="1" baseline="0"/>
                  <a:t> (2025)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3489427029168526"/>
              <c:y val="0.89136217523371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819664"/>
        <c:crosses val="autoZero"/>
        <c:auto val="1"/>
        <c:lblOffset val="100"/>
        <c:baseTimeUnit val="months"/>
      </c:dateAx>
      <c:valAx>
        <c:axId val="8088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Average Monthly Room Occupancy Trend</a:t>
                </a:r>
              </a:p>
            </c:rich>
          </c:tx>
          <c:layout>
            <c:manualLayout>
              <c:xMode val="edge"/>
              <c:yMode val="edge"/>
              <c:x val="1.6771488469601678E-2"/>
              <c:y val="0.13038795010174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81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 and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TERM'!$F$2</c:f>
              <c:strCache>
                <c:ptCount val="1"/>
                <c:pt idx="0">
                  <c:v>TOTAL REVENUE SUM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1.87003272557269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2D-467A-A57A-01CC2158E652}"/>
                </c:ext>
              </c:extLst>
            </c:dLbl>
            <c:dLbl>
              <c:idx val="6"/>
              <c:layout>
                <c:manualLayout>
                  <c:x val="2.1340162185231825E-3"/>
                  <c:y val="-1.87003272557269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2D-467A-A57A-01CC2158E652}"/>
                </c:ext>
              </c:extLst>
            </c:dLbl>
            <c:dLbl>
              <c:idx val="10"/>
              <c:layout>
                <c:manualLayout>
                  <c:x val="-1.5649271487450952E-16"/>
                  <c:y val="1.4025245441795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2D-467A-A57A-01CC2158E652}"/>
                </c:ext>
              </c:extLst>
            </c:dLbl>
            <c:dLbl>
              <c:idx val="11"/>
              <c:layout>
                <c:manualLayout>
                  <c:x val="0"/>
                  <c:y val="-1.40252454417953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2D-467A-A57A-01CC2158E652}"/>
                </c:ext>
              </c:extLst>
            </c:dLbl>
            <c:numFmt formatCode="_(&quot;₹&quot;* #,##0.00_);_(&quot;₹&quot;* \(#,##0.00\);_(&quot;₹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 TERM'!$A$3:$A$14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'MID TERM'!$F$3:$F$14</c:f>
              <c:numCache>
                <c:formatCode>General</c:formatCode>
                <c:ptCount val="12"/>
                <c:pt idx="0">
                  <c:v>260977</c:v>
                </c:pt>
                <c:pt idx="1">
                  <c:v>376570</c:v>
                </c:pt>
                <c:pt idx="2">
                  <c:v>179900</c:v>
                </c:pt>
                <c:pt idx="3">
                  <c:v>669300</c:v>
                </c:pt>
                <c:pt idx="4">
                  <c:v>954500</c:v>
                </c:pt>
                <c:pt idx="5">
                  <c:v>535329</c:v>
                </c:pt>
                <c:pt idx="6">
                  <c:v>577480</c:v>
                </c:pt>
                <c:pt idx="7">
                  <c:v>485039</c:v>
                </c:pt>
                <c:pt idx="8">
                  <c:v>362332</c:v>
                </c:pt>
                <c:pt idx="9">
                  <c:v>452644</c:v>
                </c:pt>
                <c:pt idx="10">
                  <c:v>375526</c:v>
                </c:pt>
                <c:pt idx="11">
                  <c:v>429525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6-45A3-9831-184FEA946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951152"/>
        <c:axId val="680948752"/>
      </c:barChart>
      <c:dateAx>
        <c:axId val="68095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 (2025)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48752"/>
        <c:crosses val="autoZero"/>
        <c:auto val="1"/>
        <c:lblOffset val="100"/>
        <c:baseTimeUnit val="months"/>
      </c:dateAx>
      <c:valAx>
        <c:axId val="6809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Monthly Revenue (₹)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5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Occupancy vs Revenue Relationship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'MID TERM'!$C$2</c:f>
              <c:strCache>
                <c:ptCount val="1"/>
                <c:pt idx="0">
                  <c:v>AVERAGE TOTAL 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'MID TERM'!$B$3:$B$14</c:f>
              <c:numCache>
                <c:formatCode>General</c:formatCode>
                <c:ptCount val="12"/>
                <c:pt idx="0">
                  <c:v>5.5238095238095237</c:v>
                </c:pt>
                <c:pt idx="1">
                  <c:v>5.9642857142857144</c:v>
                </c:pt>
                <c:pt idx="2">
                  <c:v>2.5161290322580645</c:v>
                </c:pt>
                <c:pt idx="3">
                  <c:v>9.6999999999999993</c:v>
                </c:pt>
                <c:pt idx="4">
                  <c:v>13.387096774193548</c:v>
                </c:pt>
                <c:pt idx="5">
                  <c:v>8.6</c:v>
                </c:pt>
                <c:pt idx="6">
                  <c:v>10.774193548387096</c:v>
                </c:pt>
                <c:pt idx="7">
                  <c:v>7.193548387096774</c:v>
                </c:pt>
                <c:pt idx="8">
                  <c:v>7.2</c:v>
                </c:pt>
                <c:pt idx="9">
                  <c:v>8.064516129032258</c:v>
                </c:pt>
                <c:pt idx="10">
                  <c:v>6.8666666666666663</c:v>
                </c:pt>
                <c:pt idx="11">
                  <c:v>6.870967741935484</c:v>
                </c:pt>
              </c:numCache>
            </c:numRef>
          </c:xVal>
          <c:yVal>
            <c:numRef>
              <c:f>'MID TERM'!$C$3:$C$14</c:f>
              <c:numCache>
                <c:formatCode>General</c:formatCode>
                <c:ptCount val="12"/>
                <c:pt idx="0">
                  <c:v>12427.476190476191</c:v>
                </c:pt>
                <c:pt idx="1">
                  <c:v>13448.928571428571</c:v>
                </c:pt>
                <c:pt idx="2">
                  <c:v>5803.2258064516127</c:v>
                </c:pt>
                <c:pt idx="3">
                  <c:v>22310</c:v>
                </c:pt>
                <c:pt idx="4">
                  <c:v>30790.322580645163</c:v>
                </c:pt>
                <c:pt idx="5">
                  <c:v>17844.3</c:v>
                </c:pt>
                <c:pt idx="6">
                  <c:v>18628.387096774193</c:v>
                </c:pt>
                <c:pt idx="7">
                  <c:v>15646.41935483871</c:v>
                </c:pt>
                <c:pt idx="8">
                  <c:v>12077.733333333334</c:v>
                </c:pt>
                <c:pt idx="9">
                  <c:v>14601.41935483871</c:v>
                </c:pt>
                <c:pt idx="10">
                  <c:v>12517.533333333333</c:v>
                </c:pt>
                <c:pt idx="11">
                  <c:v>13855.645161290322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D-40E4-9F12-B4462EF74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988400"/>
        <c:axId val="917990320"/>
      </c:scatterChart>
      <c:valAx>
        <c:axId val="91798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Number of Rooms Occupied (Rooms)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32382137063269106"/>
              <c:y val="0.88506593994492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90320"/>
        <c:crosses val="autoZero"/>
        <c:crossBetween val="midCat"/>
      </c:valAx>
      <c:valAx>
        <c:axId val="9179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Revenue (₹)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8844221105527637E-2"/>
              <c:y val="0.3562053204361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8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Contribution of Add-on Services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Extra Bed Sales</c:v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 TERM'!$A$3:$A$14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'MID TERM'!$G$3:$G$14</c:f>
              <c:numCache>
                <c:formatCode>General</c:formatCode>
                <c:ptCount val="12"/>
                <c:pt idx="0">
                  <c:v>34</c:v>
                </c:pt>
                <c:pt idx="1">
                  <c:v>54</c:v>
                </c:pt>
                <c:pt idx="2">
                  <c:v>22</c:v>
                </c:pt>
                <c:pt idx="3">
                  <c:v>97</c:v>
                </c:pt>
                <c:pt idx="4">
                  <c:v>143</c:v>
                </c:pt>
                <c:pt idx="5">
                  <c:v>41</c:v>
                </c:pt>
                <c:pt idx="6">
                  <c:v>26</c:v>
                </c:pt>
                <c:pt idx="7">
                  <c:v>44</c:v>
                </c:pt>
                <c:pt idx="8">
                  <c:v>27</c:v>
                </c:pt>
                <c:pt idx="9">
                  <c:v>38</c:v>
                </c:pt>
                <c:pt idx="10">
                  <c:v>47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3-4E4E-B9BA-141F574E59B4}"/>
            </c:ext>
          </c:extLst>
        </c:ser>
        <c:ser>
          <c:idx val="1"/>
          <c:order val="1"/>
          <c:tx>
            <c:v>Cool Drink Sales</c:v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'MID TERM'!$A$3:$A$14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'MID TERM'!$H$3:$H$14</c:f>
              <c:numCache>
                <c:formatCode>General</c:formatCode>
                <c:ptCount val="12"/>
                <c:pt idx="0">
                  <c:v>295</c:v>
                </c:pt>
                <c:pt idx="1">
                  <c:v>426</c:v>
                </c:pt>
                <c:pt idx="2">
                  <c:v>201</c:v>
                </c:pt>
                <c:pt idx="3">
                  <c:v>750</c:v>
                </c:pt>
                <c:pt idx="4">
                  <c:v>1065</c:v>
                </c:pt>
                <c:pt idx="5">
                  <c:v>596</c:v>
                </c:pt>
                <c:pt idx="6">
                  <c:v>787</c:v>
                </c:pt>
                <c:pt idx="7">
                  <c:v>531</c:v>
                </c:pt>
                <c:pt idx="8">
                  <c:v>396</c:v>
                </c:pt>
                <c:pt idx="9">
                  <c:v>476</c:v>
                </c:pt>
                <c:pt idx="10">
                  <c:v>390</c:v>
                </c:pt>
                <c:pt idx="1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3-4E4E-B9BA-141F574E5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3029584"/>
        <c:axId val="903028624"/>
      </c:barChart>
      <c:dateAx>
        <c:axId val="90302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  <a:r>
                  <a:rPr lang="en-IN" b="1" baseline="0"/>
                  <a:t> (2025)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0.46102605679186998"/>
              <c:y val="0.84073416786570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28624"/>
        <c:crosses val="autoZero"/>
        <c:auto val="1"/>
        <c:lblOffset val="100"/>
        <c:baseTimeUnit val="months"/>
      </c:dateAx>
      <c:valAx>
        <c:axId val="90302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Monthly Add-on Sales (Units)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02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Room Occupancy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FINAL!$D$2</c:f>
              <c:strCache>
                <c:ptCount val="1"/>
                <c:pt idx="0">
                  <c:v>OCCUPANCY RATE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FINAL!$A$3:$A$14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FINAL!$D$3:$D$14</c:f>
              <c:numCache>
                <c:formatCode>0.00%</c:formatCode>
                <c:ptCount val="12"/>
                <c:pt idx="0">
                  <c:v>0.16269284712482468</c:v>
                </c:pt>
                <c:pt idx="1">
                  <c:v>0.25931677018633542</c:v>
                </c:pt>
                <c:pt idx="2">
                  <c:v>0.1093969144460028</c:v>
                </c:pt>
                <c:pt idx="3">
                  <c:v>0.42173913043478262</c:v>
                </c:pt>
                <c:pt idx="4">
                  <c:v>0.58204768583450206</c:v>
                </c:pt>
                <c:pt idx="5">
                  <c:v>0.37391304347826088</c:v>
                </c:pt>
                <c:pt idx="6">
                  <c:v>0.46844319775596072</c:v>
                </c:pt>
                <c:pt idx="7">
                  <c:v>0.32318840579710145</c:v>
                </c:pt>
                <c:pt idx="8">
                  <c:v>0.30294530154277699</c:v>
                </c:pt>
                <c:pt idx="9">
                  <c:v>0.36231884057971014</c:v>
                </c:pt>
                <c:pt idx="10">
                  <c:v>0.28892005610098176</c:v>
                </c:pt>
                <c:pt idx="11">
                  <c:v>0.30869565217391304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8-447E-BF4C-4609CED8FF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7569039"/>
        <c:axId val="1537570959"/>
      </c:lineChart>
      <c:dateAx>
        <c:axId val="1537569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70959"/>
        <c:crosses val="autoZero"/>
        <c:auto val="1"/>
        <c:lblOffset val="100"/>
        <c:baseTimeUnit val="months"/>
      </c:dateAx>
      <c:valAx>
        <c:axId val="153757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Occupancy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6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RevPAR Trend at Hotel SR Paark (2025)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FINAL!$F$2</c:f>
              <c:strCache>
                <c:ptCount val="1"/>
                <c:pt idx="0">
                  <c:v>REVENUE FOR AVALIABILITY ROOMS(RevPAR)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FINAL!$A$3:$A$14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FINAL!$F$3:$F$14</c:f>
              <c:numCache>
                <c:formatCode>"₹"\ #,##0.00</c:formatCode>
                <c:ptCount val="12"/>
                <c:pt idx="0">
                  <c:v>366.0266479663394</c:v>
                </c:pt>
                <c:pt idx="1">
                  <c:v>584.73602484472053</c:v>
                </c:pt>
                <c:pt idx="2">
                  <c:v>252.31416549789623</c:v>
                </c:pt>
                <c:pt idx="3">
                  <c:v>970</c:v>
                </c:pt>
                <c:pt idx="4">
                  <c:v>1338.7096774193549</c:v>
                </c:pt>
                <c:pt idx="5">
                  <c:v>775.83913043478265</c:v>
                </c:pt>
                <c:pt idx="6">
                  <c:v>809.92987377279098</c:v>
                </c:pt>
                <c:pt idx="7">
                  <c:v>702.95507246376815</c:v>
                </c:pt>
                <c:pt idx="8">
                  <c:v>508.17952314165495</c:v>
                </c:pt>
                <c:pt idx="9">
                  <c:v>656.00579710144928</c:v>
                </c:pt>
                <c:pt idx="10">
                  <c:v>526.6844319775596</c:v>
                </c:pt>
                <c:pt idx="11">
                  <c:v>622.5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D-4E40-B653-E674295D66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8598111"/>
        <c:axId val="1988597631"/>
      </c:barChart>
      <c:dateAx>
        <c:axId val="1988598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97631"/>
        <c:crosses val="autoZero"/>
        <c:auto val="1"/>
        <c:lblOffset val="100"/>
        <c:baseTimeUnit val="months"/>
      </c:dateAx>
      <c:valAx>
        <c:axId val="198859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RevPAR (₹ per room)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9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Relationship between Room Occupancy and Add-on Services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FINAL!$G$2</c:f>
              <c:strCache>
                <c:ptCount val="1"/>
                <c:pt idx="0">
                  <c:v>TOTAL ADD-ON SERVICES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FINAL!$B$3:$B$14</c:f>
              <c:numCache>
                <c:formatCode>General</c:formatCode>
                <c:ptCount val="12"/>
                <c:pt idx="0">
                  <c:v>116</c:v>
                </c:pt>
                <c:pt idx="1">
                  <c:v>167</c:v>
                </c:pt>
                <c:pt idx="2">
                  <c:v>78</c:v>
                </c:pt>
                <c:pt idx="3">
                  <c:v>291</c:v>
                </c:pt>
                <c:pt idx="4">
                  <c:v>415</c:v>
                </c:pt>
                <c:pt idx="5">
                  <c:v>258</c:v>
                </c:pt>
                <c:pt idx="6">
                  <c:v>334</c:v>
                </c:pt>
                <c:pt idx="7">
                  <c:v>223</c:v>
                </c:pt>
                <c:pt idx="8">
                  <c:v>216</c:v>
                </c:pt>
                <c:pt idx="9">
                  <c:v>250</c:v>
                </c:pt>
                <c:pt idx="10">
                  <c:v>206</c:v>
                </c:pt>
                <c:pt idx="11">
                  <c:v>213</c:v>
                </c:pt>
              </c:numCache>
            </c:numRef>
          </c:xVal>
          <c:yVal>
            <c:numRef>
              <c:f>FINAL!$G$3:$G$14</c:f>
              <c:numCache>
                <c:formatCode>General</c:formatCode>
                <c:ptCount val="12"/>
                <c:pt idx="0">
                  <c:v>329</c:v>
                </c:pt>
                <c:pt idx="1">
                  <c:v>480</c:v>
                </c:pt>
                <c:pt idx="2">
                  <c:v>223</c:v>
                </c:pt>
                <c:pt idx="3">
                  <c:v>847</c:v>
                </c:pt>
                <c:pt idx="4">
                  <c:v>1208</c:v>
                </c:pt>
                <c:pt idx="5">
                  <c:v>637</c:v>
                </c:pt>
                <c:pt idx="6">
                  <c:v>813</c:v>
                </c:pt>
                <c:pt idx="7">
                  <c:v>575</c:v>
                </c:pt>
                <c:pt idx="8">
                  <c:v>423</c:v>
                </c:pt>
                <c:pt idx="9">
                  <c:v>514</c:v>
                </c:pt>
                <c:pt idx="10">
                  <c:v>437</c:v>
                </c:pt>
                <c:pt idx="11">
                  <c:v>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6-4D73-842D-3E7E1DE22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75455"/>
        <c:axId val="136584095"/>
      </c:scatterChart>
      <c:valAx>
        <c:axId val="13657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Rooms Occupied (Monthly Total)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4095"/>
        <c:crosses val="autoZero"/>
        <c:crossBetween val="midCat"/>
      </c:valAx>
      <c:valAx>
        <c:axId val="13658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Add-on Services Count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15</xdr:row>
      <xdr:rowOff>137160</xdr:rowOff>
    </xdr:from>
    <xdr:to>
      <xdr:col>4</xdr:col>
      <xdr:colOff>944880</xdr:colOff>
      <xdr:row>30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AC836-58B5-99F6-BEFF-21C0A81AF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960120</xdr:colOff>
      <xdr:row>15</xdr:row>
      <xdr:rowOff>133350</xdr:rowOff>
    </xdr:from>
    <xdr:to>
      <xdr:col>8</xdr:col>
      <xdr:colOff>1051560</xdr:colOff>
      <xdr:row>30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C77AE-F2A2-4BCA-042B-A408333B2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91440</xdr:colOff>
      <xdr:row>30</xdr:row>
      <xdr:rowOff>110490</xdr:rowOff>
    </xdr:from>
    <xdr:to>
      <xdr:col>4</xdr:col>
      <xdr:colOff>952500</xdr:colOff>
      <xdr:row>45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B3CD6D-8F81-3BBE-DEE6-FD0FA33B6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975360</xdr:colOff>
      <xdr:row>30</xdr:row>
      <xdr:rowOff>102870</xdr:rowOff>
    </xdr:from>
    <xdr:to>
      <xdr:col>10</xdr:col>
      <xdr:colOff>1143000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03096B-85B2-6246-7531-084CBE7C6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3810</xdr:rowOff>
    </xdr:from>
    <xdr:to>
      <xdr:col>3</xdr:col>
      <xdr:colOff>768900</xdr:colOff>
      <xdr:row>29</xdr:row>
      <xdr:rowOff>146370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B3B40-04E9-281F-E3E3-832B0BCDF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777240</xdr:colOff>
      <xdr:row>16</xdr:row>
      <xdr:rowOff>3810</xdr:rowOff>
    </xdr:from>
    <xdr:to>
      <xdr:col>6</xdr:col>
      <xdr:colOff>1256580</xdr:colOff>
      <xdr:row>29</xdr:row>
      <xdr:rowOff>146370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C283ED-D45D-B9F5-58B8-A2387EBFE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133350</xdr:rowOff>
    </xdr:from>
    <xdr:to>
      <xdr:col>3</xdr:col>
      <xdr:colOff>768900</xdr:colOff>
      <xdr:row>43</xdr:row>
      <xdr:rowOff>93030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1D3916-B929-CD24-6314-663E12B8C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88BE-B900-4263-AA77-E40677B051FC}">
  <dimension ref="A1:D25"/>
  <sheetViews>
    <sheetView workbookViewId="0">
      <selection activeCell="B30" sqref="B30"/>
    </sheetView>
  </sheetViews>
  <sheetFormatPr defaultColWidth="32.77734375" defaultRowHeight="14.4" x14ac:dyDescent="0.3"/>
  <cols>
    <col min="1" max="1" width="19.88671875" bestFit="1" customWidth="1"/>
    <col min="2" max="2" width="79.77734375" bestFit="1" customWidth="1"/>
    <col min="3" max="3" width="11.109375" bestFit="1" customWidth="1"/>
    <col min="4" max="4" width="17.5546875" bestFit="1" customWidth="1"/>
  </cols>
  <sheetData>
    <row r="1" spans="1:4" ht="15" thickBot="1" x14ac:dyDescent="0.35">
      <c r="A1" s="16" t="s">
        <v>102</v>
      </c>
      <c r="B1" s="16" t="s">
        <v>103</v>
      </c>
      <c r="C1" s="16" t="s">
        <v>104</v>
      </c>
      <c r="D1" s="16" t="s">
        <v>105</v>
      </c>
    </row>
    <row r="2" spans="1:4" x14ac:dyDescent="0.3">
      <c r="A2" s="22" t="s">
        <v>0</v>
      </c>
      <c r="B2" s="24" t="s">
        <v>106</v>
      </c>
      <c r="C2" s="24" t="s">
        <v>0</v>
      </c>
      <c r="D2" s="24" t="s">
        <v>122</v>
      </c>
    </row>
    <row r="3" spans="1:4" ht="15" thickBot="1" x14ac:dyDescent="0.35">
      <c r="A3" s="23"/>
      <c r="B3" s="25"/>
      <c r="C3" s="25"/>
      <c r="D3" s="25"/>
    </row>
    <row r="4" spans="1:4" x14ac:dyDescent="0.3">
      <c r="A4" s="22" t="s">
        <v>1</v>
      </c>
      <c r="B4" s="24" t="s">
        <v>107</v>
      </c>
      <c r="C4" s="24" t="s">
        <v>108</v>
      </c>
      <c r="D4" s="24" t="s">
        <v>109</v>
      </c>
    </row>
    <row r="5" spans="1:4" ht="15" thickBot="1" x14ac:dyDescent="0.35">
      <c r="A5" s="23"/>
      <c r="B5" s="25"/>
      <c r="C5" s="25"/>
      <c r="D5" s="25"/>
    </row>
    <row r="6" spans="1:4" x14ac:dyDescent="0.3">
      <c r="A6" s="22" t="s">
        <v>2</v>
      </c>
      <c r="B6" s="24" t="s">
        <v>110</v>
      </c>
      <c r="C6" s="24" t="s">
        <v>111</v>
      </c>
      <c r="D6" s="24" t="s">
        <v>112</v>
      </c>
    </row>
    <row r="7" spans="1:4" ht="15" thickBot="1" x14ac:dyDescent="0.35">
      <c r="A7" s="23"/>
      <c r="B7" s="25"/>
      <c r="C7" s="25"/>
      <c r="D7" s="25"/>
    </row>
    <row r="8" spans="1:4" x14ac:dyDescent="0.3">
      <c r="A8" s="22" t="s">
        <v>3</v>
      </c>
      <c r="B8" s="24" t="s">
        <v>113</v>
      </c>
      <c r="C8" s="24" t="s">
        <v>108</v>
      </c>
      <c r="D8" s="24" t="s">
        <v>114</v>
      </c>
    </row>
    <row r="9" spans="1:4" ht="15" thickBot="1" x14ac:dyDescent="0.35">
      <c r="A9" s="23"/>
      <c r="B9" s="25"/>
      <c r="C9" s="25"/>
      <c r="D9" s="25"/>
    </row>
    <row r="10" spans="1:4" x14ac:dyDescent="0.3">
      <c r="A10" s="22" t="s">
        <v>4</v>
      </c>
      <c r="B10" s="24" t="s">
        <v>115</v>
      </c>
      <c r="C10" s="24" t="s">
        <v>108</v>
      </c>
      <c r="D10" s="24" t="s">
        <v>116</v>
      </c>
    </row>
    <row r="11" spans="1:4" ht="15" thickBot="1" x14ac:dyDescent="0.35">
      <c r="A11" s="23"/>
      <c r="B11" s="25"/>
      <c r="C11" s="25"/>
      <c r="D11" s="25"/>
    </row>
    <row r="12" spans="1:4" x14ac:dyDescent="0.3">
      <c r="A12" s="22" t="s">
        <v>5</v>
      </c>
      <c r="B12" s="24" t="s">
        <v>117</v>
      </c>
      <c r="C12" s="24" t="s">
        <v>118</v>
      </c>
      <c r="D12" s="24" t="s">
        <v>119</v>
      </c>
    </row>
    <row r="13" spans="1:4" ht="15" thickBot="1" x14ac:dyDescent="0.35">
      <c r="A13" s="23"/>
      <c r="B13" s="25"/>
      <c r="C13" s="25"/>
      <c r="D13" s="25"/>
    </row>
    <row r="14" spans="1:4" x14ac:dyDescent="0.3">
      <c r="A14" s="22" t="s">
        <v>6</v>
      </c>
      <c r="B14" s="24" t="s">
        <v>120</v>
      </c>
      <c r="C14" s="24" t="s">
        <v>121</v>
      </c>
      <c r="D14" s="24" t="s">
        <v>119</v>
      </c>
    </row>
    <row r="15" spans="1:4" ht="15" thickBot="1" x14ac:dyDescent="0.35">
      <c r="A15" s="23"/>
      <c r="B15" s="25"/>
      <c r="C15" s="25"/>
      <c r="D15" s="25"/>
    </row>
    <row r="17" spans="1:4" ht="18" x14ac:dyDescent="0.3">
      <c r="A17" s="20" t="s">
        <v>123</v>
      </c>
      <c r="B17" s="20"/>
      <c r="C17" s="20"/>
      <c r="D17" s="20"/>
    </row>
    <row r="18" spans="1:4" x14ac:dyDescent="0.3">
      <c r="A18" s="21" t="s">
        <v>124</v>
      </c>
      <c r="B18" s="21"/>
      <c r="C18" s="21"/>
      <c r="D18" s="21"/>
    </row>
    <row r="19" spans="1:4" x14ac:dyDescent="0.3">
      <c r="A19" s="21" t="s">
        <v>125</v>
      </c>
      <c r="B19" s="21"/>
      <c r="C19" s="21"/>
      <c r="D19" s="21"/>
    </row>
    <row r="20" spans="1:4" x14ac:dyDescent="0.3">
      <c r="A20" s="21" t="s">
        <v>126</v>
      </c>
      <c r="B20" s="21"/>
      <c r="C20" s="21"/>
      <c r="D20" s="21"/>
    </row>
    <row r="21" spans="1:4" x14ac:dyDescent="0.3">
      <c r="A21" s="21" t="s">
        <v>127</v>
      </c>
      <c r="B21" s="21"/>
      <c r="C21" s="21"/>
      <c r="D21" s="21"/>
    </row>
    <row r="23" spans="1:4" x14ac:dyDescent="0.3">
      <c r="A23" s="17"/>
    </row>
    <row r="24" spans="1:4" x14ac:dyDescent="0.3">
      <c r="A24" s="18"/>
    </row>
    <row r="25" spans="1:4" x14ac:dyDescent="0.3">
      <c r="A25" s="17"/>
    </row>
  </sheetData>
  <mergeCells count="33">
    <mergeCell ref="A14:A15"/>
    <mergeCell ref="C14:C15"/>
    <mergeCell ref="D14:D15"/>
    <mergeCell ref="B14:B15"/>
    <mergeCell ref="B12:B13"/>
    <mergeCell ref="B10:B11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B8:B9"/>
    <mergeCell ref="B6:B7"/>
    <mergeCell ref="A2:A3"/>
    <mergeCell ref="C2:C3"/>
    <mergeCell ref="D2:D3"/>
    <mergeCell ref="A4:A5"/>
    <mergeCell ref="C4:C5"/>
    <mergeCell ref="D4:D5"/>
    <mergeCell ref="B4:B5"/>
    <mergeCell ref="B2:B3"/>
    <mergeCell ref="A17:D17"/>
    <mergeCell ref="A18:D18"/>
    <mergeCell ref="A19:D19"/>
    <mergeCell ref="A20:D20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56D7-BE44-4DA0-9160-19324C490C30}">
  <dimension ref="A1:G27"/>
  <sheetViews>
    <sheetView zoomScale="76" workbookViewId="0">
      <selection activeCell="J26" sqref="J26"/>
    </sheetView>
  </sheetViews>
  <sheetFormatPr defaultRowHeight="14.4" x14ac:dyDescent="0.3"/>
  <cols>
    <col min="1" max="1" width="22.77734375" style="9" bestFit="1" customWidth="1"/>
    <col min="2" max="2" width="16.21875" style="9" bestFit="1" customWidth="1"/>
    <col min="3" max="3" width="14.109375" style="9" bestFit="1" customWidth="1"/>
    <col min="4" max="4" width="16.21875" style="9" bestFit="1" customWidth="1"/>
    <col min="5" max="5" width="18" style="9" bestFit="1" customWidth="1"/>
    <col min="6" max="6" width="10" style="9" bestFit="1" customWidth="1"/>
    <col min="7" max="7" width="18.21875" style="9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7">
        <v>45668</v>
      </c>
      <c r="B2" s="8">
        <v>6</v>
      </c>
      <c r="C2" s="8">
        <v>14004</v>
      </c>
      <c r="D2" s="8">
        <v>2</v>
      </c>
      <c r="E2" s="8">
        <v>14</v>
      </c>
      <c r="F2" s="8" t="s">
        <v>7</v>
      </c>
      <c r="G2" s="8"/>
    </row>
    <row r="3" spans="1:7" x14ac:dyDescent="0.3">
      <c r="A3" s="7">
        <v>45669</v>
      </c>
      <c r="B3" s="8">
        <v>2</v>
      </c>
      <c r="C3" s="8">
        <v>6500</v>
      </c>
      <c r="D3" s="8">
        <v>0</v>
      </c>
      <c r="E3" s="8">
        <v>6</v>
      </c>
      <c r="F3" s="8" t="s">
        <v>7</v>
      </c>
      <c r="G3" s="8" t="s">
        <v>8</v>
      </c>
    </row>
    <row r="4" spans="1:7" x14ac:dyDescent="0.3">
      <c r="A4" s="7">
        <v>45670</v>
      </c>
      <c r="B4" s="8">
        <v>1</v>
      </c>
      <c r="C4" s="8">
        <v>2300</v>
      </c>
      <c r="D4" s="8">
        <v>0</v>
      </c>
      <c r="E4" s="8">
        <v>3</v>
      </c>
      <c r="F4" s="8" t="s">
        <v>9</v>
      </c>
      <c r="G4" s="8" t="s">
        <v>8</v>
      </c>
    </row>
    <row r="5" spans="1:7" x14ac:dyDescent="0.3">
      <c r="A5" s="7">
        <v>45671</v>
      </c>
      <c r="B5" s="8">
        <v>9</v>
      </c>
      <c r="C5" s="8">
        <v>21300</v>
      </c>
      <c r="D5" s="8">
        <v>3</v>
      </c>
      <c r="E5" s="8">
        <v>22</v>
      </c>
      <c r="F5" s="8" t="s">
        <v>10</v>
      </c>
      <c r="G5" s="8"/>
    </row>
    <row r="6" spans="1:7" x14ac:dyDescent="0.3">
      <c r="A6" s="7">
        <v>45672</v>
      </c>
      <c r="B6" s="8">
        <v>9</v>
      </c>
      <c r="C6" s="8">
        <v>29000</v>
      </c>
      <c r="D6" s="8">
        <v>4</v>
      </c>
      <c r="E6" s="8">
        <v>25</v>
      </c>
      <c r="F6" s="8" t="s">
        <v>11</v>
      </c>
      <c r="G6" s="8" t="s">
        <v>12</v>
      </c>
    </row>
    <row r="7" spans="1:7" x14ac:dyDescent="0.3">
      <c r="A7" s="7">
        <v>45673</v>
      </c>
      <c r="B7" s="8">
        <v>7</v>
      </c>
      <c r="C7" s="8">
        <v>11600</v>
      </c>
      <c r="D7" s="8">
        <v>2</v>
      </c>
      <c r="E7" s="8">
        <v>16</v>
      </c>
      <c r="F7" s="8" t="s">
        <v>7</v>
      </c>
      <c r="G7" s="8" t="s">
        <v>8</v>
      </c>
    </row>
    <row r="8" spans="1:7" x14ac:dyDescent="0.3">
      <c r="A8" s="7">
        <v>45674</v>
      </c>
      <c r="B8" s="8">
        <v>10</v>
      </c>
      <c r="C8" s="8">
        <v>19102</v>
      </c>
      <c r="D8" s="8">
        <v>3</v>
      </c>
      <c r="E8" s="8">
        <v>26</v>
      </c>
      <c r="F8" s="8" t="s">
        <v>7</v>
      </c>
      <c r="G8" s="8"/>
    </row>
    <row r="9" spans="1:7" x14ac:dyDescent="0.3">
      <c r="A9" s="7">
        <v>45675</v>
      </c>
      <c r="B9" s="8">
        <v>4</v>
      </c>
      <c r="C9" s="8">
        <v>12300</v>
      </c>
      <c r="D9" s="8">
        <v>1</v>
      </c>
      <c r="E9" s="8">
        <v>10</v>
      </c>
      <c r="F9" s="8" t="s">
        <v>11</v>
      </c>
      <c r="G9" s="8" t="s">
        <v>8</v>
      </c>
    </row>
    <row r="10" spans="1:7" x14ac:dyDescent="0.3">
      <c r="A10" s="7">
        <v>45676</v>
      </c>
      <c r="B10" s="8">
        <v>7</v>
      </c>
      <c r="C10" s="8">
        <v>22400</v>
      </c>
      <c r="D10" s="8">
        <v>2</v>
      </c>
      <c r="E10" s="8">
        <v>18</v>
      </c>
      <c r="F10" s="8" t="s">
        <v>11</v>
      </c>
      <c r="G10" s="8"/>
    </row>
    <row r="11" spans="1:7" x14ac:dyDescent="0.3">
      <c r="A11" s="7">
        <v>45677</v>
      </c>
      <c r="B11" s="8">
        <v>4</v>
      </c>
      <c r="C11" s="8">
        <v>9562</v>
      </c>
      <c r="D11" s="8">
        <v>1</v>
      </c>
      <c r="E11" s="8">
        <v>11</v>
      </c>
      <c r="F11" s="8" t="s">
        <v>10</v>
      </c>
      <c r="G11" s="8"/>
    </row>
    <row r="12" spans="1:7" x14ac:dyDescent="0.3">
      <c r="A12" s="7">
        <v>45678</v>
      </c>
      <c r="B12" s="8">
        <v>4</v>
      </c>
      <c r="C12" s="8">
        <v>11200</v>
      </c>
      <c r="D12" s="8">
        <v>1</v>
      </c>
      <c r="E12" s="8">
        <v>10</v>
      </c>
      <c r="F12" s="8" t="s">
        <v>7</v>
      </c>
      <c r="G12" s="8" t="s">
        <v>8</v>
      </c>
    </row>
    <row r="13" spans="1:7" x14ac:dyDescent="0.3">
      <c r="A13" s="7">
        <v>45679</v>
      </c>
      <c r="B13" s="8">
        <v>6</v>
      </c>
      <c r="C13" s="8">
        <v>8500</v>
      </c>
      <c r="D13" s="8">
        <v>2</v>
      </c>
      <c r="E13" s="8">
        <v>14</v>
      </c>
      <c r="F13" s="8" t="s">
        <v>7</v>
      </c>
      <c r="G13" s="8" t="s">
        <v>8</v>
      </c>
    </row>
    <row r="14" spans="1:7" x14ac:dyDescent="0.3">
      <c r="A14" s="7">
        <v>45680</v>
      </c>
      <c r="B14" s="8">
        <v>3</v>
      </c>
      <c r="C14" s="8">
        <v>2600</v>
      </c>
      <c r="D14" s="8">
        <v>0</v>
      </c>
      <c r="E14" s="8">
        <v>6</v>
      </c>
      <c r="F14" s="8" t="s">
        <v>9</v>
      </c>
      <c r="G14" s="8"/>
    </row>
    <row r="15" spans="1:7" x14ac:dyDescent="0.3">
      <c r="A15" s="7">
        <v>45681</v>
      </c>
      <c r="B15" s="8">
        <v>5</v>
      </c>
      <c r="C15" s="8">
        <v>10500</v>
      </c>
      <c r="D15" s="8">
        <v>1</v>
      </c>
      <c r="E15" s="8">
        <v>12</v>
      </c>
      <c r="F15" s="8" t="s">
        <v>10</v>
      </c>
      <c r="G15" s="8" t="s">
        <v>13</v>
      </c>
    </row>
    <row r="16" spans="1:7" x14ac:dyDescent="0.3">
      <c r="A16" s="7">
        <v>45682</v>
      </c>
      <c r="B16" s="8">
        <v>2</v>
      </c>
      <c r="C16" s="8">
        <v>3300</v>
      </c>
      <c r="D16" s="8">
        <v>0</v>
      </c>
      <c r="E16" s="8">
        <v>5</v>
      </c>
      <c r="F16" s="8" t="s">
        <v>9</v>
      </c>
      <c r="G16" s="8" t="s">
        <v>8</v>
      </c>
    </row>
    <row r="17" spans="1:7" x14ac:dyDescent="0.3">
      <c r="A17" s="7">
        <v>45683</v>
      </c>
      <c r="B17" s="8">
        <v>1</v>
      </c>
      <c r="C17" s="8">
        <v>2800</v>
      </c>
      <c r="D17" s="8">
        <v>0</v>
      </c>
      <c r="E17" s="8">
        <v>3</v>
      </c>
      <c r="F17" s="8" t="s">
        <v>9</v>
      </c>
      <c r="G17" s="8"/>
    </row>
    <row r="18" spans="1:7" x14ac:dyDescent="0.3">
      <c r="A18" s="7">
        <v>45684</v>
      </c>
      <c r="B18" s="8">
        <v>8</v>
      </c>
      <c r="C18" s="8">
        <v>18738</v>
      </c>
      <c r="D18" s="8">
        <v>3</v>
      </c>
      <c r="E18" s="8">
        <v>21</v>
      </c>
      <c r="F18" s="8" t="s">
        <v>7</v>
      </c>
      <c r="G18" s="8"/>
    </row>
    <row r="19" spans="1:7" x14ac:dyDescent="0.3">
      <c r="A19" s="7">
        <v>45685</v>
      </c>
      <c r="B19" s="8">
        <v>9</v>
      </c>
      <c r="C19" s="8">
        <v>18000</v>
      </c>
      <c r="D19" s="8">
        <v>3</v>
      </c>
      <c r="E19" s="8">
        <v>24</v>
      </c>
      <c r="F19" s="8" t="s">
        <v>11</v>
      </c>
      <c r="G19" s="8" t="s">
        <v>8</v>
      </c>
    </row>
    <row r="20" spans="1:7" x14ac:dyDescent="0.3">
      <c r="A20" s="7">
        <v>45686</v>
      </c>
      <c r="B20" s="8">
        <v>3</v>
      </c>
      <c r="C20" s="8">
        <v>7269</v>
      </c>
      <c r="D20" s="8">
        <v>1</v>
      </c>
      <c r="E20" s="8">
        <v>8</v>
      </c>
      <c r="F20" s="8" t="s">
        <v>7</v>
      </c>
      <c r="G20" s="8"/>
    </row>
    <row r="21" spans="1:7" x14ac:dyDescent="0.3">
      <c r="A21" s="7">
        <v>45687</v>
      </c>
      <c r="B21" s="8">
        <v>8</v>
      </c>
      <c r="C21" s="8">
        <v>18502</v>
      </c>
      <c r="D21" s="8">
        <v>3</v>
      </c>
      <c r="E21" s="8">
        <v>22</v>
      </c>
      <c r="F21" s="8" t="s">
        <v>7</v>
      </c>
      <c r="G21" s="8"/>
    </row>
    <row r="22" spans="1:7" x14ac:dyDescent="0.3">
      <c r="A22" s="7">
        <v>45688</v>
      </c>
      <c r="B22" s="8">
        <v>8</v>
      </c>
      <c r="C22" s="8">
        <v>11500</v>
      </c>
      <c r="D22" s="8">
        <v>2</v>
      </c>
      <c r="E22" s="8">
        <v>19</v>
      </c>
      <c r="F22" s="8" t="s">
        <v>10</v>
      </c>
      <c r="G22" s="8"/>
    </row>
    <row r="24" spans="1:7" x14ac:dyDescent="0.3">
      <c r="A24" s="12" t="s">
        <v>82</v>
      </c>
      <c r="B24" s="9">
        <f>AVERAGE(B2:B22)</f>
        <v>5.5238095238095237</v>
      </c>
      <c r="C24" s="9">
        <f t="shared" ref="C24:E24" si="0">AVERAGE(C2:C22)</f>
        <v>12427.476190476191</v>
      </c>
      <c r="D24" s="9">
        <f t="shared" si="0"/>
        <v>1.6190476190476191</v>
      </c>
      <c r="E24" s="9">
        <f t="shared" si="0"/>
        <v>14.047619047619047</v>
      </c>
    </row>
    <row r="25" spans="1:7" x14ac:dyDescent="0.3">
      <c r="A25" s="12" t="s">
        <v>89</v>
      </c>
      <c r="B25" s="9">
        <f>_xlfn.STDEV.P(B2:B22)</f>
        <v>2.8050812333377411</v>
      </c>
      <c r="C25" s="9">
        <f t="shared" ref="C25:E25" si="1">_xlfn.STDEV.P(C2:C22)</f>
        <v>7154.5517287884149</v>
      </c>
      <c r="D25" s="9">
        <f t="shared" si="1"/>
        <v>1.2140522651411392</v>
      </c>
      <c r="E25" s="9">
        <f t="shared" si="1"/>
        <v>7.2995511308585366</v>
      </c>
    </row>
    <row r="26" spans="1:7" x14ac:dyDescent="0.3">
      <c r="A26" s="12" t="s">
        <v>93</v>
      </c>
      <c r="B26" s="9">
        <f>SUM(B2:B22)</f>
        <v>116</v>
      </c>
      <c r="C26" s="9">
        <f>SUM(C2:C22)</f>
        <v>260977</v>
      </c>
      <c r="D26" s="9">
        <f t="shared" ref="D26:E26" si="2">SUM(D2:D22)</f>
        <v>34</v>
      </c>
      <c r="E26" s="9">
        <f t="shared" si="2"/>
        <v>295</v>
      </c>
    </row>
    <row r="27" spans="1:7" x14ac:dyDescent="0.3">
      <c r="A27" s="13" t="s">
        <v>100</v>
      </c>
      <c r="D27" s="26">
        <f>D26+E26</f>
        <v>329</v>
      </c>
      <c r="E27" s="26"/>
    </row>
  </sheetData>
  <mergeCells count="1">
    <mergeCell ref="D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2F79-CD40-4598-80CD-26B0D60B6FB3}">
  <dimension ref="A1:G34"/>
  <sheetViews>
    <sheetView tabSelected="1" zoomScale="65" workbookViewId="0">
      <selection activeCell="A34" sqref="A34"/>
    </sheetView>
  </sheetViews>
  <sheetFormatPr defaultRowHeight="14.4" x14ac:dyDescent="0.3"/>
  <cols>
    <col min="1" max="1" width="23.5546875" style="3" bestFit="1" customWidth="1"/>
    <col min="2" max="2" width="15.88671875" style="3" bestFit="1" customWidth="1"/>
    <col min="3" max="3" width="16.88671875" style="3" bestFit="1" customWidth="1"/>
    <col min="4" max="4" width="15.88671875" style="3" bestFit="1" customWidth="1"/>
    <col min="5" max="5" width="17.33203125" style="3" bestFit="1" customWidth="1"/>
    <col min="6" max="6" width="10" style="3" bestFit="1" customWidth="1"/>
    <col min="7" max="7" width="33.664062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45689</v>
      </c>
      <c r="B2" s="5">
        <v>22</v>
      </c>
      <c r="C2" s="5">
        <v>46400</v>
      </c>
      <c r="D2" s="5">
        <v>7</v>
      </c>
      <c r="E2" s="5">
        <v>55</v>
      </c>
      <c r="F2" s="5" t="s">
        <v>10</v>
      </c>
      <c r="G2" s="5"/>
    </row>
    <row r="3" spans="1:7" x14ac:dyDescent="0.3">
      <c r="A3" s="4">
        <v>45690</v>
      </c>
      <c r="B3" s="5">
        <v>9</v>
      </c>
      <c r="C3" s="5">
        <v>9600</v>
      </c>
      <c r="D3" s="5">
        <v>3</v>
      </c>
      <c r="E3" s="5">
        <v>22</v>
      </c>
      <c r="F3" s="5" t="s">
        <v>10</v>
      </c>
      <c r="G3" s="5"/>
    </row>
    <row r="4" spans="1:7" x14ac:dyDescent="0.3">
      <c r="A4" s="4">
        <v>45691</v>
      </c>
      <c r="B4" s="5">
        <v>12</v>
      </c>
      <c r="C4" s="5">
        <v>27600</v>
      </c>
      <c r="D4" s="5">
        <v>4</v>
      </c>
      <c r="E4" s="5">
        <v>30</v>
      </c>
      <c r="F4" s="5" t="s">
        <v>7</v>
      </c>
      <c r="G4" s="5"/>
    </row>
    <row r="5" spans="1:7" x14ac:dyDescent="0.3">
      <c r="A5" s="4">
        <v>45692</v>
      </c>
      <c r="B5" s="5">
        <v>2</v>
      </c>
      <c r="C5" s="5">
        <v>4600</v>
      </c>
      <c r="D5" s="5">
        <v>0</v>
      </c>
      <c r="E5" s="5">
        <v>5</v>
      </c>
      <c r="F5" s="5" t="s">
        <v>9</v>
      </c>
      <c r="G5" s="5" t="s">
        <v>15</v>
      </c>
    </row>
    <row r="6" spans="1:7" x14ac:dyDescent="0.3">
      <c r="A6" s="4">
        <v>45693</v>
      </c>
      <c r="B6" s="5">
        <v>3</v>
      </c>
      <c r="C6" s="5">
        <v>10000</v>
      </c>
      <c r="D6" s="5">
        <v>1</v>
      </c>
      <c r="E6" s="5">
        <v>8</v>
      </c>
      <c r="F6" s="5" t="s">
        <v>7</v>
      </c>
      <c r="G6" s="5" t="s">
        <v>8</v>
      </c>
    </row>
    <row r="7" spans="1:7" x14ac:dyDescent="0.3">
      <c r="A7" s="4">
        <v>45694</v>
      </c>
      <c r="B7" s="5">
        <v>9</v>
      </c>
      <c r="C7" s="5">
        <v>20900</v>
      </c>
      <c r="D7" s="5">
        <v>3</v>
      </c>
      <c r="E7" s="5">
        <v>24</v>
      </c>
      <c r="F7" s="5" t="s">
        <v>7</v>
      </c>
      <c r="G7" s="5"/>
    </row>
    <row r="8" spans="1:7" x14ac:dyDescent="0.3">
      <c r="A8" s="4">
        <v>45695</v>
      </c>
      <c r="B8" s="5">
        <v>12</v>
      </c>
      <c r="C8" s="5">
        <v>29800</v>
      </c>
      <c r="D8" s="5">
        <v>4</v>
      </c>
      <c r="E8" s="5">
        <v>32</v>
      </c>
      <c r="F8" s="5" t="s">
        <v>11</v>
      </c>
      <c r="G8" s="5" t="s">
        <v>12</v>
      </c>
    </row>
    <row r="9" spans="1:7" x14ac:dyDescent="0.3">
      <c r="A9" s="4">
        <v>45696</v>
      </c>
      <c r="B9" s="5">
        <v>11</v>
      </c>
      <c r="C9" s="5">
        <v>25100</v>
      </c>
      <c r="D9" s="5">
        <v>4</v>
      </c>
      <c r="E9" s="5">
        <v>28</v>
      </c>
      <c r="F9" s="5" t="s">
        <v>7</v>
      </c>
      <c r="G9" s="5"/>
    </row>
    <row r="10" spans="1:7" x14ac:dyDescent="0.3">
      <c r="A10" s="4">
        <v>45697</v>
      </c>
      <c r="B10" s="5">
        <v>1</v>
      </c>
      <c r="C10" s="5">
        <v>2400</v>
      </c>
      <c r="D10" s="5">
        <v>0</v>
      </c>
      <c r="E10" s="5">
        <v>3</v>
      </c>
      <c r="F10" s="5" t="s">
        <v>9</v>
      </c>
      <c r="G10" s="5" t="s">
        <v>8</v>
      </c>
    </row>
    <row r="11" spans="1:7" x14ac:dyDescent="0.3">
      <c r="A11" s="4">
        <v>45698</v>
      </c>
      <c r="B11" s="5">
        <v>8</v>
      </c>
      <c r="C11" s="5">
        <v>20300</v>
      </c>
      <c r="D11" s="5">
        <v>3</v>
      </c>
      <c r="E11" s="5">
        <v>21</v>
      </c>
      <c r="F11" s="5" t="s">
        <v>10</v>
      </c>
      <c r="G11" s="5"/>
    </row>
    <row r="12" spans="1:7" x14ac:dyDescent="0.3">
      <c r="A12" s="4">
        <v>45699</v>
      </c>
      <c r="B12" s="5">
        <v>5</v>
      </c>
      <c r="C12" s="5">
        <v>14200</v>
      </c>
      <c r="D12" s="5">
        <v>2</v>
      </c>
      <c r="E12" s="5">
        <v>13</v>
      </c>
      <c r="F12" s="5" t="s">
        <v>7</v>
      </c>
      <c r="G12" s="5"/>
    </row>
    <row r="13" spans="1:7" x14ac:dyDescent="0.3">
      <c r="A13" s="4">
        <v>45700</v>
      </c>
      <c r="B13" s="5">
        <v>5</v>
      </c>
      <c r="C13" s="5">
        <v>11500</v>
      </c>
      <c r="D13" s="5">
        <v>2</v>
      </c>
      <c r="E13" s="5">
        <v>12</v>
      </c>
      <c r="F13" s="5" t="s">
        <v>7</v>
      </c>
      <c r="G13" s="5" t="s">
        <v>12</v>
      </c>
    </row>
    <row r="14" spans="1:7" x14ac:dyDescent="0.3">
      <c r="A14" s="4">
        <v>45701</v>
      </c>
      <c r="B14" s="5">
        <v>7</v>
      </c>
      <c r="C14" s="5">
        <v>15100</v>
      </c>
      <c r="D14" s="5">
        <v>2</v>
      </c>
      <c r="E14" s="5">
        <v>18</v>
      </c>
      <c r="F14" s="5" t="s">
        <v>11</v>
      </c>
      <c r="G14" s="5" t="s">
        <v>8</v>
      </c>
    </row>
    <row r="15" spans="1:7" x14ac:dyDescent="0.3">
      <c r="A15" s="4">
        <v>45702</v>
      </c>
      <c r="B15" s="5">
        <v>9</v>
      </c>
      <c r="C15" s="5">
        <v>14800</v>
      </c>
      <c r="D15" s="5">
        <v>3</v>
      </c>
      <c r="E15" s="5">
        <v>22</v>
      </c>
      <c r="F15" s="5" t="s">
        <v>11</v>
      </c>
      <c r="G15" s="5"/>
    </row>
    <row r="16" spans="1:7" x14ac:dyDescent="0.3">
      <c r="A16" s="4">
        <v>45703</v>
      </c>
      <c r="B16" s="5">
        <v>7</v>
      </c>
      <c r="C16" s="5">
        <v>16100</v>
      </c>
      <c r="D16" s="5">
        <v>2</v>
      </c>
      <c r="E16" s="5">
        <v>18</v>
      </c>
      <c r="F16" s="5" t="s">
        <v>7</v>
      </c>
      <c r="G16" s="5" t="s">
        <v>16</v>
      </c>
    </row>
    <row r="17" spans="1:7" x14ac:dyDescent="0.3">
      <c r="A17" s="4">
        <v>45704</v>
      </c>
      <c r="B17" s="5">
        <v>6</v>
      </c>
      <c r="C17" s="5">
        <v>13800</v>
      </c>
      <c r="D17" s="5">
        <v>2</v>
      </c>
      <c r="E17" s="5">
        <v>15</v>
      </c>
      <c r="F17" s="5" t="s">
        <v>7</v>
      </c>
      <c r="G17" s="5"/>
    </row>
    <row r="18" spans="1:7" x14ac:dyDescent="0.3">
      <c r="A18" s="4">
        <v>45705</v>
      </c>
      <c r="B18" s="5">
        <v>8</v>
      </c>
      <c r="C18" s="5">
        <v>23070</v>
      </c>
      <c r="D18" s="5">
        <v>3</v>
      </c>
      <c r="E18" s="5">
        <v>21</v>
      </c>
      <c r="F18" s="5" t="s">
        <v>7</v>
      </c>
      <c r="G18" s="5"/>
    </row>
    <row r="19" spans="1:7" x14ac:dyDescent="0.3">
      <c r="A19" s="4">
        <v>45706</v>
      </c>
      <c r="B19" s="5">
        <v>3</v>
      </c>
      <c r="C19" s="5">
        <v>7700</v>
      </c>
      <c r="D19" s="5">
        <v>1</v>
      </c>
      <c r="E19" s="5">
        <v>8</v>
      </c>
      <c r="F19" s="5" t="s">
        <v>9</v>
      </c>
      <c r="G19" s="5" t="s">
        <v>8</v>
      </c>
    </row>
    <row r="20" spans="1:7" x14ac:dyDescent="0.3">
      <c r="A20" s="4">
        <v>45707</v>
      </c>
      <c r="B20" s="5">
        <v>3</v>
      </c>
      <c r="C20" s="5">
        <v>7400</v>
      </c>
      <c r="D20" s="5">
        <v>1</v>
      </c>
      <c r="E20" s="5">
        <v>7</v>
      </c>
      <c r="F20" s="5" t="s">
        <v>7</v>
      </c>
      <c r="G20" s="5"/>
    </row>
    <row r="21" spans="1:7" x14ac:dyDescent="0.3">
      <c r="A21" s="4">
        <v>45708</v>
      </c>
      <c r="B21" s="5">
        <v>4</v>
      </c>
      <c r="C21" s="5">
        <v>8800</v>
      </c>
      <c r="D21" s="5">
        <v>1</v>
      </c>
      <c r="E21" s="5">
        <v>10</v>
      </c>
      <c r="F21" s="5" t="s">
        <v>7</v>
      </c>
      <c r="G21" s="5" t="s">
        <v>8</v>
      </c>
    </row>
    <row r="22" spans="1:7" x14ac:dyDescent="0.3">
      <c r="A22" s="4">
        <v>45709</v>
      </c>
      <c r="B22" s="5">
        <v>6</v>
      </c>
      <c r="C22" s="5">
        <v>13400</v>
      </c>
      <c r="D22" s="5">
        <v>2</v>
      </c>
      <c r="E22" s="5">
        <v>15</v>
      </c>
      <c r="F22" s="5" t="s">
        <v>7</v>
      </c>
      <c r="G22" s="5"/>
    </row>
    <row r="23" spans="1:7" x14ac:dyDescent="0.3">
      <c r="A23" s="4">
        <v>45710</v>
      </c>
      <c r="B23" s="5">
        <v>8</v>
      </c>
      <c r="C23" s="5">
        <v>17600</v>
      </c>
      <c r="D23" s="5">
        <v>3</v>
      </c>
      <c r="E23" s="5">
        <v>20</v>
      </c>
      <c r="F23" s="5" t="s">
        <v>7</v>
      </c>
      <c r="G23" s="5"/>
    </row>
    <row r="24" spans="1:7" x14ac:dyDescent="0.3">
      <c r="A24" s="4">
        <v>45711</v>
      </c>
      <c r="B24" s="5">
        <v>3</v>
      </c>
      <c r="C24" s="5">
        <v>6900</v>
      </c>
      <c r="D24" s="5">
        <v>1</v>
      </c>
      <c r="E24" s="5">
        <v>7</v>
      </c>
      <c r="F24" s="5" t="s">
        <v>9</v>
      </c>
      <c r="G24" s="5"/>
    </row>
    <row r="25" spans="1:7" x14ac:dyDescent="0.3">
      <c r="A25" s="4">
        <v>45712</v>
      </c>
      <c r="B25" s="5">
        <v>1</v>
      </c>
      <c r="C25" s="5">
        <v>2300</v>
      </c>
      <c r="D25" s="5">
        <v>0</v>
      </c>
      <c r="E25" s="5">
        <v>3</v>
      </c>
      <c r="F25" s="5" t="s">
        <v>9</v>
      </c>
      <c r="G25" s="5" t="s">
        <v>15</v>
      </c>
    </row>
    <row r="26" spans="1:7" x14ac:dyDescent="0.3">
      <c r="A26" s="4">
        <v>45713</v>
      </c>
      <c r="B26" s="5">
        <v>0</v>
      </c>
      <c r="C26" s="5">
        <v>0</v>
      </c>
      <c r="D26" s="5">
        <v>0</v>
      </c>
      <c r="E26" s="5">
        <v>0</v>
      </c>
      <c r="F26" s="5" t="s">
        <v>18</v>
      </c>
      <c r="G26" s="5" t="s">
        <v>19</v>
      </c>
    </row>
    <row r="27" spans="1:7" x14ac:dyDescent="0.3">
      <c r="A27" s="4">
        <v>45714</v>
      </c>
      <c r="B27" s="5">
        <v>1</v>
      </c>
      <c r="C27" s="5">
        <v>2400</v>
      </c>
      <c r="D27" s="5">
        <v>0</v>
      </c>
      <c r="E27" s="5">
        <v>3</v>
      </c>
      <c r="F27" s="5" t="s">
        <v>9</v>
      </c>
      <c r="G27" s="5"/>
    </row>
    <row r="28" spans="1:7" x14ac:dyDescent="0.3">
      <c r="A28" s="4">
        <v>45715</v>
      </c>
      <c r="B28" s="5">
        <v>1</v>
      </c>
      <c r="C28" s="5">
        <v>2300</v>
      </c>
      <c r="D28" s="5">
        <v>0</v>
      </c>
      <c r="E28" s="5">
        <v>3</v>
      </c>
      <c r="F28" s="5" t="s">
        <v>9</v>
      </c>
      <c r="G28" s="5" t="s">
        <v>8</v>
      </c>
    </row>
    <row r="29" spans="1:7" x14ac:dyDescent="0.3">
      <c r="A29" s="4">
        <v>45716</v>
      </c>
      <c r="B29" s="5">
        <v>1</v>
      </c>
      <c r="C29" s="5">
        <v>2500</v>
      </c>
      <c r="D29" s="5">
        <v>0</v>
      </c>
      <c r="E29" s="5">
        <v>3</v>
      </c>
      <c r="F29" s="5" t="s">
        <v>9</v>
      </c>
      <c r="G29" s="5"/>
    </row>
    <row r="31" spans="1:7" x14ac:dyDescent="0.3">
      <c r="A31" s="12" t="s">
        <v>82</v>
      </c>
      <c r="B31" s="3">
        <f>AVERAGE(B2:B29)</f>
        <v>5.9642857142857144</v>
      </c>
      <c r="C31" s="3">
        <f t="shared" ref="C31:E31" si="0">AVERAGE(C2:C29)</f>
        <v>13448.928571428571</v>
      </c>
      <c r="D31" s="3">
        <f t="shared" si="0"/>
        <v>1.9285714285714286</v>
      </c>
      <c r="E31" s="3">
        <f t="shared" si="0"/>
        <v>15.214285714285714</v>
      </c>
    </row>
    <row r="32" spans="1:7" x14ac:dyDescent="0.3">
      <c r="A32" s="12" t="s">
        <v>89</v>
      </c>
      <c r="B32" s="3">
        <f>_xlfn.STDEV.P(B2:B29)</f>
        <v>4.6788440487638674</v>
      </c>
      <c r="C32" s="3">
        <f t="shared" ref="C32:E32" si="1">_xlfn.STDEV.P(C2:C29)</f>
        <v>10264.55737661177</v>
      </c>
      <c r="D32" s="3">
        <f t="shared" si="1"/>
        <v>1.6459598031147018</v>
      </c>
      <c r="E32" s="3">
        <f t="shared" si="1"/>
        <v>11.778785842283039</v>
      </c>
    </row>
    <row r="33" spans="1:5" x14ac:dyDescent="0.3">
      <c r="A33" s="12" t="s">
        <v>93</v>
      </c>
      <c r="B33" s="3">
        <f>SUM(B2:B29)</f>
        <v>167</v>
      </c>
      <c r="C33" s="3">
        <f>SUM(C2:C29)</f>
        <v>376570</v>
      </c>
      <c r="D33" s="3">
        <f>SUM(D2:D29)</f>
        <v>54</v>
      </c>
      <c r="E33" s="3">
        <f t="shared" ref="E33" si="2">SUM(E2:E29)</f>
        <v>426</v>
      </c>
    </row>
    <row r="34" spans="1:5" x14ac:dyDescent="0.3">
      <c r="A34" s="13" t="s">
        <v>100</v>
      </c>
      <c r="D34" s="27">
        <f>D33+E33</f>
        <v>480</v>
      </c>
      <c r="E34" s="27"/>
    </row>
  </sheetData>
  <mergeCells count="1">
    <mergeCell ref="D34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6847-ADD4-4DF3-97D3-4D72EBEB56E0}">
  <dimension ref="A1:G37"/>
  <sheetViews>
    <sheetView topLeftCell="A9" zoomScale="68" workbookViewId="0">
      <selection activeCell="A37" sqref="A37"/>
    </sheetView>
  </sheetViews>
  <sheetFormatPr defaultRowHeight="14.4" x14ac:dyDescent="0.3"/>
  <cols>
    <col min="1" max="1" width="23.6640625" style="3" bestFit="1" customWidth="1"/>
    <col min="2" max="2" width="16.44140625" style="3" bestFit="1" customWidth="1"/>
    <col min="3" max="3" width="17.44140625" style="3" bestFit="1" customWidth="1"/>
    <col min="4" max="4" width="16.6640625" style="3" bestFit="1" customWidth="1"/>
    <col min="5" max="5" width="18.109375" style="3" bestFit="1" customWidth="1"/>
    <col min="6" max="6" width="10.109375" style="3" bestFit="1" customWidth="1"/>
    <col min="7" max="7" width="22.21875" style="3" bestFit="1" customWidth="1"/>
    <col min="8" max="16384" width="8.88671875" style="6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45717</v>
      </c>
      <c r="B2" s="5">
        <v>7</v>
      </c>
      <c r="C2" s="5">
        <v>16200</v>
      </c>
      <c r="D2" s="5">
        <v>2</v>
      </c>
      <c r="E2" s="5">
        <v>18</v>
      </c>
      <c r="F2" s="5" t="s">
        <v>7</v>
      </c>
      <c r="G2" s="5"/>
    </row>
    <row r="3" spans="1:7" x14ac:dyDescent="0.3">
      <c r="A3" s="4">
        <v>45718</v>
      </c>
      <c r="B3" s="5">
        <v>6</v>
      </c>
      <c r="C3" s="5">
        <v>13800</v>
      </c>
      <c r="D3" s="5">
        <v>2</v>
      </c>
      <c r="E3" s="5">
        <v>15</v>
      </c>
      <c r="F3" s="5" t="s">
        <v>7</v>
      </c>
      <c r="G3" s="5"/>
    </row>
    <row r="4" spans="1:7" x14ac:dyDescent="0.3">
      <c r="A4" s="4">
        <v>45719</v>
      </c>
      <c r="B4" s="5">
        <v>0</v>
      </c>
      <c r="C4" s="5">
        <v>0</v>
      </c>
      <c r="D4" s="5">
        <v>0</v>
      </c>
      <c r="E4" s="5">
        <v>0</v>
      </c>
      <c r="F4" s="5" t="s">
        <v>18</v>
      </c>
      <c r="G4" s="5" t="s">
        <v>20</v>
      </c>
    </row>
    <row r="5" spans="1:7" x14ac:dyDescent="0.3">
      <c r="A5" s="4">
        <v>45720</v>
      </c>
      <c r="B5" s="5">
        <v>2</v>
      </c>
      <c r="C5" s="5">
        <v>4600</v>
      </c>
      <c r="D5" s="5">
        <v>0</v>
      </c>
      <c r="E5" s="5">
        <v>6</v>
      </c>
      <c r="F5" s="5" t="s">
        <v>9</v>
      </c>
      <c r="G5" s="5" t="s">
        <v>21</v>
      </c>
    </row>
    <row r="6" spans="1:7" x14ac:dyDescent="0.3">
      <c r="A6" s="4">
        <v>45721</v>
      </c>
      <c r="B6" s="5">
        <v>0</v>
      </c>
      <c r="C6" s="5">
        <v>0</v>
      </c>
      <c r="D6" s="5">
        <v>0</v>
      </c>
      <c r="E6" s="5">
        <v>0</v>
      </c>
      <c r="F6" s="5" t="s">
        <v>18</v>
      </c>
      <c r="G6" s="5" t="s">
        <v>22</v>
      </c>
    </row>
    <row r="7" spans="1:7" x14ac:dyDescent="0.3">
      <c r="A7" s="4">
        <v>45722</v>
      </c>
      <c r="B7" s="5">
        <v>1</v>
      </c>
      <c r="C7" s="5">
        <v>2300</v>
      </c>
      <c r="D7" s="5">
        <v>0</v>
      </c>
      <c r="E7" s="5">
        <v>3</v>
      </c>
      <c r="F7" s="5" t="s">
        <v>9</v>
      </c>
      <c r="G7" s="5"/>
    </row>
    <row r="8" spans="1:7" x14ac:dyDescent="0.3">
      <c r="A8" s="4">
        <v>45723</v>
      </c>
      <c r="B8" s="5">
        <v>4</v>
      </c>
      <c r="C8" s="5">
        <v>9200</v>
      </c>
      <c r="D8" s="5">
        <v>1</v>
      </c>
      <c r="E8" s="5">
        <v>10</v>
      </c>
      <c r="F8" s="5" t="s">
        <v>7</v>
      </c>
      <c r="G8" s="5"/>
    </row>
    <row r="9" spans="1:7" x14ac:dyDescent="0.3">
      <c r="A9" s="4">
        <v>45724</v>
      </c>
      <c r="B9" s="5">
        <v>3</v>
      </c>
      <c r="C9" s="5">
        <v>6900</v>
      </c>
      <c r="D9" s="5">
        <v>1</v>
      </c>
      <c r="E9" s="5">
        <v>8</v>
      </c>
      <c r="F9" s="5" t="s">
        <v>11</v>
      </c>
      <c r="G9" s="5"/>
    </row>
    <row r="10" spans="1:7" x14ac:dyDescent="0.3">
      <c r="A10" s="4">
        <v>45725</v>
      </c>
      <c r="B10" s="5">
        <v>1</v>
      </c>
      <c r="C10" s="5">
        <v>2400</v>
      </c>
      <c r="D10" s="5">
        <v>0</v>
      </c>
      <c r="E10" s="5">
        <v>3</v>
      </c>
      <c r="F10" s="5" t="s">
        <v>9</v>
      </c>
      <c r="G10" s="5" t="s">
        <v>23</v>
      </c>
    </row>
    <row r="11" spans="1:7" x14ac:dyDescent="0.3">
      <c r="A11" s="4">
        <v>45726</v>
      </c>
      <c r="B11" s="5">
        <v>0</v>
      </c>
      <c r="C11" s="5">
        <v>0</v>
      </c>
      <c r="D11" s="5">
        <v>0</v>
      </c>
      <c r="E11" s="5">
        <v>0</v>
      </c>
      <c r="F11" s="5" t="s">
        <v>18</v>
      </c>
      <c r="G11" s="5" t="s">
        <v>20</v>
      </c>
    </row>
    <row r="12" spans="1:7" x14ac:dyDescent="0.3">
      <c r="A12" s="4">
        <v>45727</v>
      </c>
      <c r="B12" s="5">
        <v>6</v>
      </c>
      <c r="C12" s="5">
        <v>13800</v>
      </c>
      <c r="D12" s="5">
        <v>2</v>
      </c>
      <c r="E12" s="5">
        <v>15</v>
      </c>
      <c r="F12" s="5" t="s">
        <v>10</v>
      </c>
      <c r="G12" s="5"/>
    </row>
    <row r="13" spans="1:7" x14ac:dyDescent="0.3">
      <c r="A13" s="4">
        <v>45728</v>
      </c>
      <c r="B13" s="5">
        <v>6</v>
      </c>
      <c r="C13" s="5">
        <v>13800</v>
      </c>
      <c r="D13" s="5">
        <v>2</v>
      </c>
      <c r="E13" s="5">
        <v>15</v>
      </c>
      <c r="F13" s="5" t="s">
        <v>10</v>
      </c>
      <c r="G13" s="5" t="s">
        <v>24</v>
      </c>
    </row>
    <row r="14" spans="1:7" x14ac:dyDescent="0.3">
      <c r="A14" s="4">
        <v>45729</v>
      </c>
      <c r="B14" s="5">
        <v>3</v>
      </c>
      <c r="C14" s="5">
        <v>7200</v>
      </c>
      <c r="D14" s="5">
        <v>1</v>
      </c>
      <c r="E14" s="5">
        <v>8</v>
      </c>
      <c r="F14" s="5" t="s">
        <v>7</v>
      </c>
      <c r="G14" s="5"/>
    </row>
    <row r="15" spans="1:7" x14ac:dyDescent="0.3">
      <c r="A15" s="4">
        <v>45730</v>
      </c>
      <c r="B15" s="5">
        <v>4</v>
      </c>
      <c r="C15" s="5">
        <v>9200</v>
      </c>
      <c r="D15" s="5">
        <v>1</v>
      </c>
      <c r="E15" s="5">
        <v>10</v>
      </c>
      <c r="F15" s="5" t="s">
        <v>11</v>
      </c>
      <c r="G15" s="5"/>
    </row>
    <row r="16" spans="1:7" x14ac:dyDescent="0.3">
      <c r="A16" s="4">
        <v>45731</v>
      </c>
      <c r="B16" s="5">
        <v>5</v>
      </c>
      <c r="C16" s="5">
        <v>11500</v>
      </c>
      <c r="D16" s="5">
        <v>2</v>
      </c>
      <c r="E16" s="5">
        <v>13</v>
      </c>
      <c r="F16" s="5" t="s">
        <v>7</v>
      </c>
      <c r="G16" s="5"/>
    </row>
    <row r="17" spans="1:7" x14ac:dyDescent="0.3">
      <c r="A17" s="4">
        <v>45732</v>
      </c>
      <c r="B17" s="5">
        <v>2</v>
      </c>
      <c r="C17" s="5">
        <v>4800</v>
      </c>
      <c r="D17" s="5">
        <v>0</v>
      </c>
      <c r="E17" s="5">
        <v>5</v>
      </c>
      <c r="F17" s="5" t="s">
        <v>7</v>
      </c>
      <c r="G17" s="5"/>
    </row>
    <row r="18" spans="1:7" x14ac:dyDescent="0.3">
      <c r="A18" s="4">
        <v>45733</v>
      </c>
      <c r="B18" s="5">
        <v>0</v>
      </c>
      <c r="C18" s="5">
        <v>0</v>
      </c>
      <c r="D18" s="5">
        <v>0</v>
      </c>
      <c r="E18" s="5">
        <v>0</v>
      </c>
      <c r="F18" s="5" t="s">
        <v>18</v>
      </c>
      <c r="G18" s="5" t="s">
        <v>20</v>
      </c>
    </row>
    <row r="19" spans="1:7" x14ac:dyDescent="0.3">
      <c r="A19" s="4">
        <v>45734</v>
      </c>
      <c r="B19" s="5">
        <v>0</v>
      </c>
      <c r="C19" s="5">
        <v>0</v>
      </c>
      <c r="D19" s="5">
        <v>0</v>
      </c>
      <c r="E19" s="5">
        <v>0</v>
      </c>
      <c r="F19" s="5" t="s">
        <v>18</v>
      </c>
      <c r="G19" s="5" t="s">
        <v>22</v>
      </c>
    </row>
    <row r="20" spans="1:7" x14ac:dyDescent="0.3">
      <c r="A20" s="4">
        <v>45735</v>
      </c>
      <c r="B20" s="5">
        <v>0</v>
      </c>
      <c r="C20" s="5">
        <v>0</v>
      </c>
      <c r="D20" s="5">
        <v>0</v>
      </c>
      <c r="E20" s="5">
        <v>0</v>
      </c>
      <c r="F20" s="5" t="s">
        <v>18</v>
      </c>
      <c r="G20" s="5" t="s">
        <v>22</v>
      </c>
    </row>
    <row r="21" spans="1:7" x14ac:dyDescent="0.3">
      <c r="A21" s="4">
        <v>45736</v>
      </c>
      <c r="B21" s="5">
        <v>0</v>
      </c>
      <c r="C21" s="5">
        <v>0</v>
      </c>
      <c r="D21" s="5">
        <v>0</v>
      </c>
      <c r="E21" s="5">
        <v>0</v>
      </c>
      <c r="F21" s="5" t="s">
        <v>18</v>
      </c>
      <c r="G21" s="5" t="s">
        <v>22</v>
      </c>
    </row>
    <row r="22" spans="1:7" x14ac:dyDescent="0.3">
      <c r="A22" s="4">
        <v>45737</v>
      </c>
      <c r="B22" s="5">
        <v>0</v>
      </c>
      <c r="C22" s="5">
        <v>0</v>
      </c>
      <c r="D22" s="5">
        <v>0</v>
      </c>
      <c r="E22" s="5">
        <v>0</v>
      </c>
      <c r="F22" s="5" t="s">
        <v>18</v>
      </c>
      <c r="G22" s="5" t="s">
        <v>22</v>
      </c>
    </row>
    <row r="23" spans="1:7" x14ac:dyDescent="0.3">
      <c r="A23" s="4">
        <v>45738</v>
      </c>
      <c r="B23" s="5">
        <v>0</v>
      </c>
      <c r="C23" s="5">
        <v>0</v>
      </c>
      <c r="D23" s="5">
        <v>0</v>
      </c>
      <c r="E23" s="5">
        <v>0</v>
      </c>
      <c r="F23" s="5" t="s">
        <v>18</v>
      </c>
      <c r="G23" s="5" t="s">
        <v>22</v>
      </c>
    </row>
    <row r="24" spans="1:7" x14ac:dyDescent="0.3">
      <c r="A24" s="4">
        <v>45739</v>
      </c>
      <c r="B24" s="5">
        <v>0</v>
      </c>
      <c r="C24" s="5">
        <v>0</v>
      </c>
      <c r="D24" s="5">
        <v>0</v>
      </c>
      <c r="E24" s="5">
        <v>0</v>
      </c>
      <c r="F24" s="5" t="s">
        <v>18</v>
      </c>
      <c r="G24" s="5" t="s">
        <v>22</v>
      </c>
    </row>
    <row r="25" spans="1:7" x14ac:dyDescent="0.3">
      <c r="A25" s="4">
        <v>45740</v>
      </c>
      <c r="B25" s="5">
        <v>0</v>
      </c>
      <c r="C25" s="5">
        <v>0</v>
      </c>
      <c r="D25" s="5">
        <v>0</v>
      </c>
      <c r="E25" s="5">
        <v>0</v>
      </c>
      <c r="F25" s="5" t="s">
        <v>18</v>
      </c>
      <c r="G25" s="5" t="s">
        <v>22</v>
      </c>
    </row>
    <row r="26" spans="1:7" x14ac:dyDescent="0.3">
      <c r="A26" s="4">
        <v>45741</v>
      </c>
      <c r="B26" s="5">
        <v>0</v>
      </c>
      <c r="C26" s="5">
        <v>0</v>
      </c>
      <c r="D26" s="5">
        <v>0</v>
      </c>
      <c r="E26" s="5">
        <v>0</v>
      </c>
      <c r="F26" s="5" t="s">
        <v>18</v>
      </c>
      <c r="G26" s="5" t="s">
        <v>22</v>
      </c>
    </row>
    <row r="27" spans="1:7" x14ac:dyDescent="0.3">
      <c r="A27" s="4">
        <v>45742</v>
      </c>
      <c r="B27" s="5">
        <v>2</v>
      </c>
      <c r="C27" s="5">
        <v>4600</v>
      </c>
      <c r="D27" s="5">
        <v>0</v>
      </c>
      <c r="E27" s="5">
        <v>6</v>
      </c>
      <c r="F27" s="5" t="s">
        <v>9</v>
      </c>
      <c r="G27" s="5" t="s">
        <v>25</v>
      </c>
    </row>
    <row r="28" spans="1:7" x14ac:dyDescent="0.3">
      <c r="A28" s="4">
        <v>45743</v>
      </c>
      <c r="B28" s="5">
        <v>5</v>
      </c>
      <c r="C28" s="5">
        <v>11500</v>
      </c>
      <c r="D28" s="5">
        <v>2</v>
      </c>
      <c r="E28" s="5">
        <v>13</v>
      </c>
      <c r="F28" s="5" t="s">
        <v>7</v>
      </c>
      <c r="G28" s="5" t="s">
        <v>26</v>
      </c>
    </row>
    <row r="29" spans="1:7" x14ac:dyDescent="0.3">
      <c r="A29" s="4">
        <v>45744</v>
      </c>
      <c r="B29" s="5">
        <v>6</v>
      </c>
      <c r="C29" s="5">
        <v>13800</v>
      </c>
      <c r="D29" s="5">
        <v>2</v>
      </c>
      <c r="E29" s="5">
        <v>15</v>
      </c>
      <c r="F29" s="5" t="s">
        <v>7</v>
      </c>
      <c r="G29" s="5"/>
    </row>
    <row r="30" spans="1:7" x14ac:dyDescent="0.3">
      <c r="A30" s="4">
        <v>45745</v>
      </c>
      <c r="B30" s="5">
        <v>7</v>
      </c>
      <c r="C30" s="5">
        <v>15900</v>
      </c>
      <c r="D30" s="5">
        <v>2</v>
      </c>
      <c r="E30" s="5">
        <v>18</v>
      </c>
      <c r="F30" s="5" t="s">
        <v>7</v>
      </c>
      <c r="G30" s="5"/>
    </row>
    <row r="31" spans="1:7" x14ac:dyDescent="0.3">
      <c r="A31" s="4">
        <v>45746</v>
      </c>
      <c r="B31" s="5">
        <v>4</v>
      </c>
      <c r="C31" s="5">
        <v>9200</v>
      </c>
      <c r="D31" s="5">
        <v>1</v>
      </c>
      <c r="E31" s="5">
        <v>10</v>
      </c>
      <c r="F31" s="5" t="s">
        <v>7</v>
      </c>
      <c r="G31" s="5" t="s">
        <v>27</v>
      </c>
    </row>
    <row r="32" spans="1:7" x14ac:dyDescent="0.3">
      <c r="A32" s="4">
        <v>45747</v>
      </c>
      <c r="B32" s="5">
        <v>4</v>
      </c>
      <c r="C32" s="5">
        <v>9200</v>
      </c>
      <c r="D32" s="5">
        <v>1</v>
      </c>
      <c r="E32" s="5">
        <v>10</v>
      </c>
      <c r="F32" s="5" t="s">
        <v>7</v>
      </c>
      <c r="G32" s="5" t="s">
        <v>28</v>
      </c>
    </row>
    <row r="34" spans="1:5" x14ac:dyDescent="0.3">
      <c r="A34" s="12" t="s">
        <v>82</v>
      </c>
      <c r="B34" s="3">
        <f>AVERAGE(B2:B32)</f>
        <v>2.5161290322580645</v>
      </c>
      <c r="C34" s="3">
        <f t="shared" ref="C34:E34" si="0">AVERAGE(C2:C32)</f>
        <v>5803.2258064516127</v>
      </c>
      <c r="D34" s="3">
        <f t="shared" si="0"/>
        <v>0.70967741935483875</v>
      </c>
      <c r="E34" s="3">
        <f t="shared" si="0"/>
        <v>6.4838709677419351</v>
      </c>
    </row>
    <row r="35" spans="1:5" x14ac:dyDescent="0.3">
      <c r="A35" s="12" t="s">
        <v>89</v>
      </c>
      <c r="B35" s="3">
        <f>_xlfn.STDEV.P(B2:B32)</f>
        <v>2.4870110022446945</v>
      </c>
      <c r="C35" s="3">
        <f t="shared" ref="C35:E35" si="1">_xlfn.STDEV.P(C2:C32)</f>
        <v>5713.3959096127046</v>
      </c>
      <c r="D35" s="3">
        <f t="shared" si="1"/>
        <v>0.84980257240770907</v>
      </c>
      <c r="E35" s="3">
        <f t="shared" si="1"/>
        <v>6.288088933448984</v>
      </c>
    </row>
    <row r="36" spans="1:5" x14ac:dyDescent="0.3">
      <c r="A36" s="12" t="s">
        <v>93</v>
      </c>
      <c r="B36" s="3">
        <f>SUM(B2:B32)</f>
        <v>78</v>
      </c>
      <c r="C36" s="3">
        <f>SUM(C2:C32)</f>
        <v>179900</v>
      </c>
      <c r="D36" s="3">
        <f t="shared" ref="D36:E36" si="2">SUM(D2:D32)</f>
        <v>22</v>
      </c>
      <c r="E36" s="3">
        <f t="shared" si="2"/>
        <v>201</v>
      </c>
    </row>
    <row r="37" spans="1:5" x14ac:dyDescent="0.3">
      <c r="A37" s="13" t="s">
        <v>100</v>
      </c>
      <c r="D37" s="27">
        <f>D36+E36</f>
        <v>223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388D-2281-443F-AD0B-EF10FBAB1AF0}">
  <dimension ref="A1:G36"/>
  <sheetViews>
    <sheetView topLeftCell="A19" zoomScale="75" zoomScaleNormal="75" workbookViewId="0">
      <selection activeCell="A36" sqref="A36"/>
    </sheetView>
  </sheetViews>
  <sheetFormatPr defaultRowHeight="14.4" x14ac:dyDescent="0.3"/>
  <cols>
    <col min="1" max="1" width="34.77734375" style="3" bestFit="1" customWidth="1"/>
    <col min="2" max="2" width="22.109375" style="3" bestFit="1" customWidth="1"/>
    <col min="3" max="3" width="22.6640625" style="3" bestFit="1" customWidth="1"/>
    <col min="4" max="4" width="22" style="3" bestFit="1" customWidth="1"/>
    <col min="5" max="5" width="24.21875" style="3" bestFit="1" customWidth="1"/>
    <col min="6" max="6" width="13.88671875" style="3" bestFit="1" customWidth="1"/>
    <col min="7" max="7" width="25.10937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45748</v>
      </c>
      <c r="B2" s="5">
        <v>5</v>
      </c>
      <c r="C2" s="5">
        <v>11500</v>
      </c>
      <c r="D2" s="5">
        <v>2</v>
      </c>
      <c r="E2" s="5">
        <v>14</v>
      </c>
      <c r="F2" s="5" t="s">
        <v>7</v>
      </c>
      <c r="G2" s="5" t="s">
        <v>26</v>
      </c>
    </row>
    <row r="3" spans="1:7" x14ac:dyDescent="0.3">
      <c r="A3" s="4">
        <v>45749</v>
      </c>
      <c r="B3" s="5">
        <v>7</v>
      </c>
      <c r="C3" s="5">
        <v>16100</v>
      </c>
      <c r="D3" s="5">
        <v>2</v>
      </c>
      <c r="E3" s="5">
        <v>18</v>
      </c>
      <c r="F3" s="5" t="s">
        <v>7</v>
      </c>
      <c r="G3" s="5" t="s">
        <v>29</v>
      </c>
    </row>
    <row r="4" spans="1:7" ht="28.8" x14ac:dyDescent="0.3">
      <c r="A4" s="4">
        <v>45750</v>
      </c>
      <c r="B4" s="5">
        <v>14</v>
      </c>
      <c r="C4" s="5">
        <v>32200</v>
      </c>
      <c r="D4" s="5">
        <v>5</v>
      </c>
      <c r="E4" s="5">
        <v>36</v>
      </c>
      <c r="F4" s="5" t="s">
        <v>7</v>
      </c>
      <c r="G4" s="5" t="s">
        <v>30</v>
      </c>
    </row>
    <row r="5" spans="1:7" x14ac:dyDescent="0.3">
      <c r="A5" s="4">
        <v>45751</v>
      </c>
      <c r="B5" s="5">
        <v>9</v>
      </c>
      <c r="C5" s="5">
        <v>20700</v>
      </c>
      <c r="D5" s="5">
        <v>3</v>
      </c>
      <c r="E5" s="5">
        <v>24</v>
      </c>
      <c r="F5" s="5" t="s">
        <v>7</v>
      </c>
      <c r="G5" s="5" t="s">
        <v>31</v>
      </c>
    </row>
    <row r="6" spans="1:7" x14ac:dyDescent="0.3">
      <c r="A6" s="4">
        <v>45752</v>
      </c>
      <c r="B6" s="5">
        <v>10</v>
      </c>
      <c r="C6" s="5">
        <v>23000</v>
      </c>
      <c r="D6" s="5">
        <v>3</v>
      </c>
      <c r="E6" s="5">
        <v>26</v>
      </c>
      <c r="F6" s="5" t="s">
        <v>11</v>
      </c>
      <c r="G6" s="5" t="s">
        <v>32</v>
      </c>
    </row>
    <row r="7" spans="1:7" ht="28.8" x14ac:dyDescent="0.3">
      <c r="A7" s="4">
        <v>45753</v>
      </c>
      <c r="B7" s="5">
        <v>11</v>
      </c>
      <c r="C7" s="5">
        <v>25300</v>
      </c>
      <c r="D7" s="5">
        <v>4</v>
      </c>
      <c r="E7" s="5">
        <v>28</v>
      </c>
      <c r="F7" s="5" t="s">
        <v>7</v>
      </c>
      <c r="G7" s="5" t="s">
        <v>33</v>
      </c>
    </row>
    <row r="8" spans="1:7" x14ac:dyDescent="0.3">
      <c r="A8" s="4">
        <v>45754</v>
      </c>
      <c r="B8" s="5">
        <v>6</v>
      </c>
      <c r="C8" s="5">
        <v>13800</v>
      </c>
      <c r="D8" s="5">
        <v>2</v>
      </c>
      <c r="E8" s="5">
        <v>15</v>
      </c>
      <c r="F8" s="5" t="s">
        <v>7</v>
      </c>
      <c r="G8" s="5" t="s">
        <v>8</v>
      </c>
    </row>
    <row r="9" spans="1:7" x14ac:dyDescent="0.3">
      <c r="A9" s="4">
        <v>45755</v>
      </c>
      <c r="B9" s="5">
        <v>8</v>
      </c>
      <c r="C9" s="5">
        <v>18400</v>
      </c>
      <c r="D9" s="5">
        <v>3</v>
      </c>
      <c r="E9" s="5">
        <v>20</v>
      </c>
      <c r="F9" s="5" t="s">
        <v>11</v>
      </c>
      <c r="G9" s="5"/>
    </row>
    <row r="10" spans="1:7" x14ac:dyDescent="0.3">
      <c r="A10" s="4">
        <v>45756</v>
      </c>
      <c r="B10" s="5">
        <v>13</v>
      </c>
      <c r="C10" s="5">
        <v>29900</v>
      </c>
      <c r="D10" s="5">
        <v>4</v>
      </c>
      <c r="E10" s="5">
        <v>34</v>
      </c>
      <c r="F10" s="5" t="s">
        <v>7</v>
      </c>
      <c r="G10" s="5" t="s">
        <v>90</v>
      </c>
    </row>
    <row r="11" spans="1:7" x14ac:dyDescent="0.3">
      <c r="A11" s="4">
        <v>45757</v>
      </c>
      <c r="B11" s="5">
        <v>7</v>
      </c>
      <c r="C11" s="5">
        <v>16100</v>
      </c>
      <c r="D11" s="5">
        <v>2</v>
      </c>
      <c r="E11" s="5">
        <v>18</v>
      </c>
      <c r="F11" s="5" t="s">
        <v>7</v>
      </c>
      <c r="G11" s="5"/>
    </row>
    <row r="12" spans="1:7" x14ac:dyDescent="0.3">
      <c r="A12" s="4">
        <v>45758</v>
      </c>
      <c r="B12" s="5">
        <v>9</v>
      </c>
      <c r="C12" s="5">
        <v>20700</v>
      </c>
      <c r="D12" s="5">
        <v>3</v>
      </c>
      <c r="E12" s="5">
        <v>23</v>
      </c>
      <c r="F12" s="5" t="s">
        <v>10</v>
      </c>
      <c r="G12" s="5"/>
    </row>
    <row r="13" spans="1:7" x14ac:dyDescent="0.3">
      <c r="A13" s="4">
        <v>45759</v>
      </c>
      <c r="B13" s="5">
        <v>11</v>
      </c>
      <c r="C13" s="5">
        <v>25300</v>
      </c>
      <c r="D13" s="5">
        <v>4</v>
      </c>
      <c r="E13" s="5">
        <v>29</v>
      </c>
      <c r="F13" s="5" t="s">
        <v>10</v>
      </c>
      <c r="G13" s="5"/>
    </row>
    <row r="14" spans="1:7" x14ac:dyDescent="0.3">
      <c r="A14" s="4">
        <v>45760</v>
      </c>
      <c r="B14" s="5">
        <v>12</v>
      </c>
      <c r="C14" s="5">
        <v>27600</v>
      </c>
      <c r="D14" s="5">
        <v>4</v>
      </c>
      <c r="E14" s="5">
        <v>31</v>
      </c>
      <c r="F14" s="5" t="s">
        <v>11</v>
      </c>
      <c r="G14" s="5" t="s">
        <v>34</v>
      </c>
    </row>
    <row r="15" spans="1:7" x14ac:dyDescent="0.3">
      <c r="A15" s="4">
        <v>45761</v>
      </c>
      <c r="B15" s="5">
        <v>6</v>
      </c>
      <c r="C15" s="5">
        <v>13800</v>
      </c>
      <c r="D15" s="5">
        <v>2</v>
      </c>
      <c r="E15" s="5">
        <v>15</v>
      </c>
      <c r="F15" s="5" t="s">
        <v>7</v>
      </c>
      <c r="G15" s="5" t="s">
        <v>35</v>
      </c>
    </row>
    <row r="16" spans="1:7" x14ac:dyDescent="0.3">
      <c r="A16" s="4">
        <v>45762</v>
      </c>
      <c r="B16" s="5">
        <v>8</v>
      </c>
      <c r="C16" s="5">
        <v>18400</v>
      </c>
      <c r="D16" s="5">
        <v>3</v>
      </c>
      <c r="E16" s="5">
        <v>20</v>
      </c>
      <c r="F16" s="5" t="s">
        <v>10</v>
      </c>
      <c r="G16" s="5"/>
    </row>
    <row r="17" spans="1:7" x14ac:dyDescent="0.3">
      <c r="A17" s="4">
        <v>45763</v>
      </c>
      <c r="B17" s="5">
        <v>14</v>
      </c>
      <c r="C17" s="5">
        <v>32200</v>
      </c>
      <c r="D17" s="5">
        <v>5</v>
      </c>
      <c r="E17" s="5">
        <v>36</v>
      </c>
      <c r="F17" s="5" t="s">
        <v>7</v>
      </c>
      <c r="G17" s="5"/>
    </row>
    <row r="18" spans="1:7" x14ac:dyDescent="0.3">
      <c r="A18" s="4">
        <v>45764</v>
      </c>
      <c r="B18" s="5">
        <v>13</v>
      </c>
      <c r="C18" s="5">
        <v>29900</v>
      </c>
      <c r="D18" s="5">
        <v>4</v>
      </c>
      <c r="E18" s="5">
        <v>34</v>
      </c>
      <c r="F18" s="5" t="s">
        <v>7</v>
      </c>
      <c r="G18" s="5" t="s">
        <v>26</v>
      </c>
    </row>
    <row r="19" spans="1:7" x14ac:dyDescent="0.3">
      <c r="A19" s="4">
        <v>45765</v>
      </c>
      <c r="B19" s="5">
        <v>10</v>
      </c>
      <c r="C19" s="5">
        <v>23000</v>
      </c>
      <c r="D19" s="5">
        <v>3</v>
      </c>
      <c r="E19" s="5">
        <v>26</v>
      </c>
      <c r="F19" s="5" t="s">
        <v>7</v>
      </c>
      <c r="G19" s="5" t="s">
        <v>36</v>
      </c>
    </row>
    <row r="20" spans="1:7" x14ac:dyDescent="0.3">
      <c r="A20" s="4">
        <v>45766</v>
      </c>
      <c r="B20" s="5">
        <v>9</v>
      </c>
      <c r="C20" s="5">
        <v>20700</v>
      </c>
      <c r="D20" s="5">
        <v>3</v>
      </c>
      <c r="E20" s="5">
        <v>23</v>
      </c>
      <c r="F20" s="5" t="s">
        <v>7</v>
      </c>
      <c r="G20" s="5" t="s">
        <v>8</v>
      </c>
    </row>
    <row r="21" spans="1:7" x14ac:dyDescent="0.3">
      <c r="A21" s="4">
        <v>45767</v>
      </c>
      <c r="B21" s="5">
        <v>5</v>
      </c>
      <c r="C21" s="5">
        <v>11500</v>
      </c>
      <c r="D21" s="5">
        <v>1</v>
      </c>
      <c r="E21" s="5">
        <v>12</v>
      </c>
      <c r="F21" s="5" t="s">
        <v>10</v>
      </c>
      <c r="G21" s="5" t="s">
        <v>13</v>
      </c>
    </row>
    <row r="22" spans="1:7" x14ac:dyDescent="0.3">
      <c r="A22" s="4">
        <v>45768</v>
      </c>
      <c r="B22" s="5">
        <v>6</v>
      </c>
      <c r="C22" s="5">
        <v>13800</v>
      </c>
      <c r="D22" s="5">
        <v>2</v>
      </c>
      <c r="E22" s="5">
        <v>15</v>
      </c>
      <c r="F22" s="5" t="s">
        <v>7</v>
      </c>
      <c r="G22" s="5" t="s">
        <v>8</v>
      </c>
    </row>
    <row r="23" spans="1:7" x14ac:dyDescent="0.3">
      <c r="A23" s="4">
        <v>45769</v>
      </c>
      <c r="B23" s="5">
        <v>10</v>
      </c>
      <c r="C23" s="5">
        <v>23000</v>
      </c>
      <c r="D23" s="5">
        <v>3</v>
      </c>
      <c r="E23" s="5">
        <v>26</v>
      </c>
      <c r="F23" s="5" t="s">
        <v>7</v>
      </c>
      <c r="G23" s="5"/>
    </row>
    <row r="24" spans="1:7" x14ac:dyDescent="0.3">
      <c r="A24" s="4">
        <v>45770</v>
      </c>
      <c r="B24" s="5">
        <v>16</v>
      </c>
      <c r="C24" s="5">
        <v>36800</v>
      </c>
      <c r="D24" s="5">
        <v>6</v>
      </c>
      <c r="E24" s="5">
        <v>40</v>
      </c>
      <c r="F24" s="5" t="s">
        <v>7</v>
      </c>
      <c r="G24" s="5"/>
    </row>
    <row r="25" spans="1:7" x14ac:dyDescent="0.3">
      <c r="A25" s="4">
        <v>45771</v>
      </c>
      <c r="B25" s="5">
        <v>12</v>
      </c>
      <c r="C25" s="5">
        <v>27600</v>
      </c>
      <c r="D25" s="5">
        <v>4</v>
      </c>
      <c r="E25" s="5">
        <v>31</v>
      </c>
      <c r="F25" s="5" t="s">
        <v>7</v>
      </c>
      <c r="G25" s="5" t="s">
        <v>37</v>
      </c>
    </row>
    <row r="26" spans="1:7" x14ac:dyDescent="0.3">
      <c r="A26" s="4">
        <v>45772</v>
      </c>
      <c r="B26" s="5">
        <v>11</v>
      </c>
      <c r="C26" s="5">
        <v>25300</v>
      </c>
      <c r="D26" s="5">
        <v>4</v>
      </c>
      <c r="E26" s="5">
        <v>29</v>
      </c>
      <c r="F26" s="5" t="s">
        <v>10</v>
      </c>
      <c r="G26" s="5"/>
    </row>
    <row r="27" spans="1:7" x14ac:dyDescent="0.3">
      <c r="A27" s="4">
        <v>45773</v>
      </c>
      <c r="B27" s="5">
        <v>9</v>
      </c>
      <c r="C27" s="5">
        <v>20700</v>
      </c>
      <c r="D27" s="5">
        <v>3</v>
      </c>
      <c r="E27" s="5">
        <v>23</v>
      </c>
      <c r="F27" s="5" t="s">
        <v>7</v>
      </c>
      <c r="G27" s="5"/>
    </row>
    <row r="28" spans="1:7" x14ac:dyDescent="0.3">
      <c r="A28" s="4">
        <v>45774</v>
      </c>
      <c r="B28" s="5">
        <v>7</v>
      </c>
      <c r="C28" s="5">
        <v>16100</v>
      </c>
      <c r="D28" s="5">
        <v>2</v>
      </c>
      <c r="E28" s="5">
        <v>18</v>
      </c>
      <c r="F28" s="5" t="s">
        <v>7</v>
      </c>
      <c r="G28" s="5" t="s">
        <v>8</v>
      </c>
    </row>
    <row r="29" spans="1:7" x14ac:dyDescent="0.3">
      <c r="A29" s="4">
        <v>45775</v>
      </c>
      <c r="B29" s="5">
        <v>10</v>
      </c>
      <c r="C29" s="5">
        <v>23000</v>
      </c>
      <c r="D29" s="5">
        <v>3</v>
      </c>
      <c r="E29" s="5">
        <v>26</v>
      </c>
      <c r="F29" s="5" t="s">
        <v>11</v>
      </c>
      <c r="G29" s="5" t="s">
        <v>38</v>
      </c>
    </row>
    <row r="30" spans="1:7" x14ac:dyDescent="0.3">
      <c r="A30" s="4">
        <v>45776</v>
      </c>
      <c r="B30" s="5">
        <v>12</v>
      </c>
      <c r="C30" s="5">
        <v>27600</v>
      </c>
      <c r="D30" s="5">
        <v>4</v>
      </c>
      <c r="E30" s="5">
        <v>31</v>
      </c>
      <c r="F30" s="5" t="s">
        <v>11</v>
      </c>
      <c r="G30" s="5"/>
    </row>
    <row r="31" spans="1:7" x14ac:dyDescent="0.3">
      <c r="A31" s="4">
        <v>45777</v>
      </c>
      <c r="B31" s="5">
        <v>11</v>
      </c>
      <c r="C31" s="5">
        <v>25300</v>
      </c>
      <c r="D31" s="5">
        <v>4</v>
      </c>
      <c r="E31" s="5">
        <v>29</v>
      </c>
      <c r="F31" s="5" t="s">
        <v>10</v>
      </c>
      <c r="G31" s="5"/>
    </row>
    <row r="33" spans="1:5" x14ac:dyDescent="0.3">
      <c r="A33" s="12" t="s">
        <v>82</v>
      </c>
      <c r="B33" s="3">
        <f>AVERAGE(B2:B31)</f>
        <v>9.6999999999999993</v>
      </c>
      <c r="C33" s="3">
        <f t="shared" ref="C33:E33" si="0">AVERAGE(C2:C31)</f>
        <v>22310</v>
      </c>
      <c r="D33" s="3">
        <f t="shared" si="0"/>
        <v>3.2333333333333334</v>
      </c>
      <c r="E33" s="3">
        <f t="shared" si="0"/>
        <v>25</v>
      </c>
    </row>
    <row r="34" spans="1:5" x14ac:dyDescent="0.3">
      <c r="A34" s="12" t="s">
        <v>89</v>
      </c>
      <c r="B34" s="3">
        <f>_xlfn.STDEV.P(B2:B31)</f>
        <v>2.8065399813055696</v>
      </c>
      <c r="C34" s="3">
        <f t="shared" ref="C34:E34" si="1">_xlfn.STDEV.P(C2:C31)</f>
        <v>6455.0419570028098</v>
      </c>
      <c r="D34" s="3">
        <f t="shared" si="1"/>
        <v>1.085766498326822</v>
      </c>
      <c r="E34" s="3">
        <f t="shared" si="1"/>
        <v>7.2984016515033385</v>
      </c>
    </row>
    <row r="35" spans="1:5" x14ac:dyDescent="0.3">
      <c r="A35" s="12" t="s">
        <v>93</v>
      </c>
      <c r="B35" s="3">
        <f>SUM(B2:B31)</f>
        <v>291</v>
      </c>
      <c r="C35" s="3">
        <f>SUM(C2:C31)</f>
        <v>669300</v>
      </c>
      <c r="D35" s="3">
        <f t="shared" ref="D35:E35" si="2">SUM(D2:D31)</f>
        <v>97</v>
      </c>
      <c r="E35" s="3">
        <f t="shared" si="2"/>
        <v>750</v>
      </c>
    </row>
    <row r="36" spans="1:5" x14ac:dyDescent="0.3">
      <c r="A36" s="13" t="s">
        <v>100</v>
      </c>
      <c r="D36" s="27">
        <f>D35+E35</f>
        <v>847</v>
      </c>
      <c r="E36" s="27"/>
    </row>
  </sheetData>
  <mergeCells count="1">
    <mergeCell ref="D36:E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9BF0-BCCB-4BFC-B684-EA5F3C472BE1}">
  <dimension ref="A1:G37"/>
  <sheetViews>
    <sheetView zoomScale="61" workbookViewId="0">
      <selection activeCell="A37" sqref="A37"/>
    </sheetView>
  </sheetViews>
  <sheetFormatPr defaultRowHeight="14.4" x14ac:dyDescent="0.3"/>
  <cols>
    <col min="1" max="1" width="33.6640625" style="3" bestFit="1" customWidth="1"/>
    <col min="2" max="2" width="21.44140625" style="3" bestFit="1" customWidth="1"/>
    <col min="3" max="3" width="22" style="3" bestFit="1" customWidth="1"/>
    <col min="4" max="4" width="21.21875" style="3" bestFit="1" customWidth="1"/>
    <col min="5" max="5" width="23.44140625" style="3" bestFit="1" customWidth="1"/>
    <col min="6" max="6" width="13.44140625" style="3" bestFit="1" customWidth="1"/>
    <col min="7" max="7" width="31.664062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45778</v>
      </c>
      <c r="B2" s="5">
        <v>16</v>
      </c>
      <c r="C2" s="5">
        <v>36800</v>
      </c>
      <c r="D2" s="5">
        <v>6</v>
      </c>
      <c r="E2" s="5">
        <v>40</v>
      </c>
      <c r="F2" s="5" t="s">
        <v>7</v>
      </c>
      <c r="G2" s="5"/>
    </row>
    <row r="3" spans="1:7" x14ac:dyDescent="0.3">
      <c r="A3" s="4">
        <v>45779</v>
      </c>
      <c r="B3" s="5">
        <v>14</v>
      </c>
      <c r="C3" s="5">
        <v>32200</v>
      </c>
      <c r="D3" s="5">
        <v>5</v>
      </c>
      <c r="E3" s="5">
        <v>36</v>
      </c>
      <c r="F3" s="5" t="s">
        <v>7</v>
      </c>
      <c r="G3" s="5"/>
    </row>
    <row r="4" spans="1:7" x14ac:dyDescent="0.3">
      <c r="A4" s="4">
        <v>45780</v>
      </c>
      <c r="B4" s="5">
        <v>15</v>
      </c>
      <c r="C4" s="5">
        <v>34500</v>
      </c>
      <c r="D4" s="5">
        <v>5</v>
      </c>
      <c r="E4" s="5">
        <v>38</v>
      </c>
      <c r="F4" s="5" t="s">
        <v>7</v>
      </c>
      <c r="G4" s="5"/>
    </row>
    <row r="5" spans="1:7" x14ac:dyDescent="0.3">
      <c r="A5" s="4">
        <v>45781</v>
      </c>
      <c r="B5" s="5">
        <v>12</v>
      </c>
      <c r="C5" s="5">
        <v>27600</v>
      </c>
      <c r="D5" s="5">
        <v>4</v>
      </c>
      <c r="E5" s="5">
        <v>31</v>
      </c>
      <c r="F5" s="5" t="s">
        <v>7</v>
      </c>
      <c r="G5" s="5"/>
    </row>
    <row r="6" spans="1:7" x14ac:dyDescent="0.3">
      <c r="A6" s="4">
        <v>45782</v>
      </c>
      <c r="B6" s="5">
        <v>13</v>
      </c>
      <c r="C6" s="5">
        <v>29900</v>
      </c>
      <c r="D6" s="5">
        <v>4</v>
      </c>
      <c r="E6" s="5">
        <v>34</v>
      </c>
      <c r="F6" s="5" t="s">
        <v>10</v>
      </c>
      <c r="G6" s="5" t="s">
        <v>39</v>
      </c>
    </row>
    <row r="7" spans="1:7" x14ac:dyDescent="0.3">
      <c r="A7" s="4">
        <v>45783</v>
      </c>
      <c r="B7" s="5">
        <v>14</v>
      </c>
      <c r="C7" s="5">
        <v>32200</v>
      </c>
      <c r="D7" s="5">
        <v>5</v>
      </c>
      <c r="E7" s="5">
        <v>36</v>
      </c>
      <c r="F7" s="5" t="s">
        <v>10</v>
      </c>
      <c r="G7" s="5"/>
    </row>
    <row r="8" spans="1:7" x14ac:dyDescent="0.3">
      <c r="A8" s="4">
        <v>45784</v>
      </c>
      <c r="B8" s="5">
        <v>18</v>
      </c>
      <c r="C8" s="5">
        <v>41400</v>
      </c>
      <c r="D8" s="5">
        <v>7</v>
      </c>
      <c r="E8" s="5">
        <v>46</v>
      </c>
      <c r="F8" s="5" t="s">
        <v>10</v>
      </c>
      <c r="G8" s="5" t="s">
        <v>40</v>
      </c>
    </row>
    <row r="9" spans="1:7" x14ac:dyDescent="0.3">
      <c r="A9" s="4">
        <v>45785</v>
      </c>
      <c r="B9" s="5">
        <v>16</v>
      </c>
      <c r="C9" s="5">
        <v>36800</v>
      </c>
      <c r="D9" s="5">
        <v>6</v>
      </c>
      <c r="E9" s="5">
        <v>40</v>
      </c>
      <c r="F9" s="5" t="s">
        <v>7</v>
      </c>
      <c r="G9" s="5"/>
    </row>
    <row r="10" spans="1:7" x14ac:dyDescent="0.3">
      <c r="A10" s="4">
        <v>45786</v>
      </c>
      <c r="B10" s="5">
        <v>17</v>
      </c>
      <c r="C10" s="5">
        <v>39100</v>
      </c>
      <c r="D10" s="5">
        <v>6</v>
      </c>
      <c r="E10" s="5">
        <v>44</v>
      </c>
      <c r="F10" s="5" t="s">
        <v>10</v>
      </c>
      <c r="G10" s="5"/>
    </row>
    <row r="11" spans="1:7" x14ac:dyDescent="0.3">
      <c r="A11" s="4">
        <v>45787</v>
      </c>
      <c r="B11" s="5">
        <v>15</v>
      </c>
      <c r="C11" s="5">
        <v>34500</v>
      </c>
      <c r="D11" s="5">
        <v>5</v>
      </c>
      <c r="E11" s="5">
        <v>38</v>
      </c>
      <c r="F11" s="5" t="s">
        <v>7</v>
      </c>
      <c r="G11" s="5"/>
    </row>
    <row r="12" spans="1:7" x14ac:dyDescent="0.3">
      <c r="A12" s="4">
        <v>45788</v>
      </c>
      <c r="B12" s="5">
        <v>16</v>
      </c>
      <c r="C12" s="5">
        <v>36800</v>
      </c>
      <c r="D12" s="5">
        <v>6</v>
      </c>
      <c r="E12" s="5">
        <v>40</v>
      </c>
      <c r="F12" s="5" t="s">
        <v>10</v>
      </c>
      <c r="G12" s="5"/>
    </row>
    <row r="13" spans="1:7" x14ac:dyDescent="0.3">
      <c r="A13" s="4">
        <v>45789</v>
      </c>
      <c r="B13" s="5">
        <v>14</v>
      </c>
      <c r="C13" s="5">
        <v>32200</v>
      </c>
      <c r="D13" s="5">
        <v>5</v>
      </c>
      <c r="E13" s="5">
        <v>36</v>
      </c>
      <c r="F13" s="5" t="s">
        <v>7</v>
      </c>
      <c r="G13" s="5" t="s">
        <v>41</v>
      </c>
    </row>
    <row r="14" spans="1:7" x14ac:dyDescent="0.3">
      <c r="A14" s="4">
        <v>45790</v>
      </c>
      <c r="B14" s="5">
        <v>11</v>
      </c>
      <c r="C14" s="5">
        <v>25300</v>
      </c>
      <c r="D14" s="5">
        <v>4</v>
      </c>
      <c r="E14" s="5">
        <v>29</v>
      </c>
      <c r="F14" s="5" t="s">
        <v>10</v>
      </c>
      <c r="G14" s="5" t="s">
        <v>42</v>
      </c>
    </row>
    <row r="15" spans="1:7" x14ac:dyDescent="0.3">
      <c r="A15" s="4">
        <v>45791</v>
      </c>
      <c r="B15" s="5">
        <v>15</v>
      </c>
      <c r="C15" s="5">
        <v>34500</v>
      </c>
      <c r="D15" s="5">
        <v>5</v>
      </c>
      <c r="E15" s="5">
        <v>38</v>
      </c>
      <c r="F15" s="5" t="s">
        <v>10</v>
      </c>
      <c r="G15" s="5"/>
    </row>
    <row r="16" spans="1:7" x14ac:dyDescent="0.3">
      <c r="A16" s="4">
        <v>45792</v>
      </c>
      <c r="B16" s="5">
        <v>8</v>
      </c>
      <c r="C16" s="5">
        <v>18400</v>
      </c>
      <c r="D16" s="5">
        <v>3</v>
      </c>
      <c r="E16" s="5">
        <v>20</v>
      </c>
      <c r="F16" s="5" t="s">
        <v>7</v>
      </c>
      <c r="G16" s="5"/>
    </row>
    <row r="17" spans="1:7" x14ac:dyDescent="0.3">
      <c r="A17" s="4">
        <v>45793</v>
      </c>
      <c r="B17" s="5">
        <v>7</v>
      </c>
      <c r="C17" s="5">
        <v>16100</v>
      </c>
      <c r="D17" s="5">
        <v>2</v>
      </c>
      <c r="E17" s="5">
        <v>18</v>
      </c>
      <c r="F17" s="5" t="s">
        <v>7</v>
      </c>
      <c r="G17" s="5"/>
    </row>
    <row r="18" spans="1:7" x14ac:dyDescent="0.3">
      <c r="A18" s="4">
        <v>45794</v>
      </c>
      <c r="B18" s="5">
        <v>14</v>
      </c>
      <c r="C18" s="5">
        <v>32200</v>
      </c>
      <c r="D18" s="5">
        <v>5</v>
      </c>
      <c r="E18" s="5">
        <v>36</v>
      </c>
      <c r="F18" s="5" t="s">
        <v>7</v>
      </c>
      <c r="G18" s="5" t="s">
        <v>43</v>
      </c>
    </row>
    <row r="19" spans="1:7" ht="28.8" x14ac:dyDescent="0.3">
      <c r="A19" s="4">
        <v>45795</v>
      </c>
      <c r="B19" s="5">
        <v>20</v>
      </c>
      <c r="C19" s="5">
        <v>46000</v>
      </c>
      <c r="D19" s="5">
        <v>7</v>
      </c>
      <c r="E19" s="5">
        <v>50</v>
      </c>
      <c r="F19" s="5" t="s">
        <v>10</v>
      </c>
      <c r="G19" s="5" t="s">
        <v>44</v>
      </c>
    </row>
    <row r="20" spans="1:7" x14ac:dyDescent="0.3">
      <c r="A20" s="4">
        <v>45796</v>
      </c>
      <c r="B20" s="5">
        <v>12</v>
      </c>
      <c r="C20" s="5">
        <v>27600</v>
      </c>
      <c r="D20" s="5">
        <v>4</v>
      </c>
      <c r="E20" s="5">
        <v>31</v>
      </c>
      <c r="F20" s="5" t="s">
        <v>7</v>
      </c>
      <c r="G20" s="5"/>
    </row>
    <row r="21" spans="1:7" x14ac:dyDescent="0.3">
      <c r="A21" s="4">
        <v>45797</v>
      </c>
      <c r="B21" s="5">
        <v>11</v>
      </c>
      <c r="C21" s="5">
        <v>25300</v>
      </c>
      <c r="D21" s="5">
        <v>4</v>
      </c>
      <c r="E21" s="5">
        <v>29</v>
      </c>
      <c r="F21" s="5" t="s">
        <v>7</v>
      </c>
      <c r="G21" s="5"/>
    </row>
    <row r="22" spans="1:7" x14ac:dyDescent="0.3">
      <c r="A22" s="4">
        <v>45798</v>
      </c>
      <c r="B22" s="5">
        <v>10</v>
      </c>
      <c r="C22" s="5">
        <v>23000</v>
      </c>
      <c r="D22" s="5">
        <v>3</v>
      </c>
      <c r="E22" s="5">
        <v>26</v>
      </c>
      <c r="F22" s="5" t="s">
        <v>10</v>
      </c>
      <c r="G22" s="5" t="s">
        <v>45</v>
      </c>
    </row>
    <row r="23" spans="1:7" x14ac:dyDescent="0.3">
      <c r="A23" s="4">
        <v>45799</v>
      </c>
      <c r="B23" s="5">
        <v>13</v>
      </c>
      <c r="C23" s="5">
        <v>29900</v>
      </c>
      <c r="D23" s="5">
        <v>4</v>
      </c>
      <c r="E23" s="5">
        <v>34</v>
      </c>
      <c r="F23" s="5" t="s">
        <v>7</v>
      </c>
      <c r="G23" s="5"/>
    </row>
    <row r="24" spans="1:7" x14ac:dyDescent="0.3">
      <c r="A24" s="4">
        <v>45800</v>
      </c>
      <c r="B24" s="5">
        <v>12</v>
      </c>
      <c r="C24" s="5">
        <v>27600</v>
      </c>
      <c r="D24" s="5">
        <v>4</v>
      </c>
      <c r="E24" s="5">
        <v>31</v>
      </c>
      <c r="F24" s="5" t="s">
        <v>7</v>
      </c>
      <c r="G24" s="5"/>
    </row>
    <row r="25" spans="1:7" x14ac:dyDescent="0.3">
      <c r="A25" s="4">
        <v>45801</v>
      </c>
      <c r="B25" s="5">
        <v>10</v>
      </c>
      <c r="C25" s="5">
        <v>23000</v>
      </c>
      <c r="D25" s="5">
        <v>3</v>
      </c>
      <c r="E25" s="5">
        <v>26</v>
      </c>
      <c r="F25" s="5" t="s">
        <v>7</v>
      </c>
      <c r="G25" s="5"/>
    </row>
    <row r="26" spans="1:7" x14ac:dyDescent="0.3">
      <c r="A26" s="4">
        <v>45802</v>
      </c>
      <c r="B26" s="5">
        <v>15</v>
      </c>
      <c r="C26" s="5">
        <v>34500</v>
      </c>
      <c r="D26" s="5">
        <v>5</v>
      </c>
      <c r="E26" s="5">
        <v>38</v>
      </c>
      <c r="F26" s="5" t="s">
        <v>10</v>
      </c>
      <c r="G26" s="5" t="s">
        <v>13</v>
      </c>
    </row>
    <row r="27" spans="1:7" x14ac:dyDescent="0.3">
      <c r="A27" s="4">
        <v>45803</v>
      </c>
      <c r="B27" s="5">
        <v>12</v>
      </c>
      <c r="C27" s="5">
        <v>27600</v>
      </c>
      <c r="D27" s="5">
        <v>4</v>
      </c>
      <c r="E27" s="5">
        <v>31</v>
      </c>
      <c r="F27" s="5" t="s">
        <v>7</v>
      </c>
      <c r="G27" s="5"/>
    </row>
    <row r="28" spans="1:7" x14ac:dyDescent="0.3">
      <c r="A28" s="4">
        <v>45804</v>
      </c>
      <c r="B28" s="5">
        <v>10</v>
      </c>
      <c r="C28" s="5">
        <v>23000</v>
      </c>
      <c r="D28" s="5">
        <v>3</v>
      </c>
      <c r="E28" s="5">
        <v>26</v>
      </c>
      <c r="F28" s="5" t="s">
        <v>7</v>
      </c>
      <c r="G28" s="5" t="s">
        <v>8</v>
      </c>
    </row>
    <row r="29" spans="1:7" x14ac:dyDescent="0.3">
      <c r="A29" s="4">
        <v>45805</v>
      </c>
      <c r="B29" s="5">
        <v>11</v>
      </c>
      <c r="C29" s="5">
        <v>25300</v>
      </c>
      <c r="D29" s="5">
        <v>4</v>
      </c>
      <c r="E29" s="5">
        <v>29</v>
      </c>
      <c r="F29" s="5" t="s">
        <v>10</v>
      </c>
      <c r="G29" s="5"/>
    </row>
    <row r="30" spans="1:7" x14ac:dyDescent="0.3">
      <c r="A30" s="4">
        <v>45806</v>
      </c>
      <c r="B30" s="5">
        <v>17</v>
      </c>
      <c r="C30" s="5">
        <v>39100</v>
      </c>
      <c r="D30" s="5">
        <v>6</v>
      </c>
      <c r="E30" s="5">
        <v>44</v>
      </c>
      <c r="F30" s="5" t="s">
        <v>10</v>
      </c>
      <c r="G30" s="5"/>
    </row>
    <row r="31" spans="1:7" x14ac:dyDescent="0.3">
      <c r="A31" s="4">
        <v>45807</v>
      </c>
      <c r="B31" s="5">
        <v>14</v>
      </c>
      <c r="C31" s="5">
        <v>32200</v>
      </c>
      <c r="D31" s="5">
        <v>5</v>
      </c>
      <c r="E31" s="5">
        <v>36</v>
      </c>
      <c r="F31" s="5" t="s">
        <v>7</v>
      </c>
      <c r="G31" s="5"/>
    </row>
    <row r="32" spans="1:7" x14ac:dyDescent="0.3">
      <c r="A32" s="4">
        <v>45808</v>
      </c>
      <c r="B32" s="5">
        <v>13</v>
      </c>
      <c r="C32" s="5">
        <v>29900</v>
      </c>
      <c r="D32" s="5">
        <v>4</v>
      </c>
      <c r="E32" s="5">
        <v>34</v>
      </c>
      <c r="F32" s="5" t="s">
        <v>7</v>
      </c>
      <c r="G32" s="5"/>
    </row>
    <row r="34" spans="1:5" x14ac:dyDescent="0.3">
      <c r="A34" s="13" t="s">
        <v>83</v>
      </c>
      <c r="B34" s="3">
        <f>AVERAGE(B2:B32)</f>
        <v>13.387096774193548</v>
      </c>
      <c r="C34" s="3">
        <f t="shared" ref="C34:E34" si="0">AVERAGE(C2:C32)</f>
        <v>30790.322580645163</v>
      </c>
      <c r="D34" s="3">
        <f t="shared" si="0"/>
        <v>4.612903225806452</v>
      </c>
      <c r="E34" s="3">
        <f t="shared" si="0"/>
        <v>34.354838709677416</v>
      </c>
    </row>
    <row r="35" spans="1:5" x14ac:dyDescent="0.3">
      <c r="A35" s="12" t="s">
        <v>89</v>
      </c>
      <c r="B35" s="3">
        <f>_xlfn.STDEV.P(B2:B32)</f>
        <v>2.8587998762715516</v>
      </c>
      <c r="C35" s="3">
        <f t="shared" ref="C35:E35" si="1">_xlfn.STDEV.P(C2:C32)</f>
        <v>6575.2397154245691</v>
      </c>
      <c r="D35" s="3">
        <f t="shared" si="1"/>
        <v>1.1826001793434426</v>
      </c>
      <c r="E35" s="3">
        <f t="shared" si="1"/>
        <v>7.0553040541542984</v>
      </c>
    </row>
    <row r="36" spans="1:5" x14ac:dyDescent="0.3">
      <c r="A36" s="13" t="s">
        <v>93</v>
      </c>
      <c r="B36" s="3">
        <f>SUM(B2:B32)</f>
        <v>415</v>
      </c>
      <c r="C36" s="3">
        <f>SUM(C2:C32)</f>
        <v>954500</v>
      </c>
      <c r="D36" s="3">
        <f t="shared" ref="D36:E36" si="2">SUM(D2:D32)</f>
        <v>143</v>
      </c>
      <c r="E36" s="3">
        <f t="shared" si="2"/>
        <v>1065</v>
      </c>
    </row>
    <row r="37" spans="1:5" x14ac:dyDescent="0.3">
      <c r="A37" s="13" t="s">
        <v>100</v>
      </c>
      <c r="D37" s="27">
        <f>D36+E36</f>
        <v>1208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BE37-6BA4-4D60-B75E-7FC790C8FCDC}">
  <dimension ref="A1:G36"/>
  <sheetViews>
    <sheetView zoomScale="64" workbookViewId="0">
      <selection activeCell="A36" sqref="A36"/>
    </sheetView>
  </sheetViews>
  <sheetFormatPr defaultRowHeight="14.4" x14ac:dyDescent="0.3"/>
  <cols>
    <col min="1" max="1" width="23.88671875" style="3" bestFit="1" customWidth="1"/>
    <col min="2" max="2" width="16.109375" style="3" bestFit="1" customWidth="1"/>
    <col min="3" max="3" width="17.109375" style="3" bestFit="1" customWidth="1"/>
    <col min="4" max="4" width="16.109375" style="3" bestFit="1" customWidth="1"/>
    <col min="5" max="5" width="17.44140625" style="3" bestFit="1" customWidth="1"/>
    <col min="6" max="6" width="10.21875" style="3" bestFit="1" customWidth="1"/>
    <col min="7" max="7" width="19.3320312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45809</v>
      </c>
      <c r="B2" s="5">
        <v>6</v>
      </c>
      <c r="C2" s="5">
        <v>13800</v>
      </c>
      <c r="D2" s="5">
        <v>1</v>
      </c>
      <c r="E2" s="5">
        <v>14</v>
      </c>
      <c r="F2" s="5" t="s">
        <v>10</v>
      </c>
      <c r="G2" s="5"/>
    </row>
    <row r="3" spans="1:7" x14ac:dyDescent="0.3">
      <c r="A3" s="4">
        <v>45810</v>
      </c>
      <c r="B3" s="5">
        <v>7</v>
      </c>
      <c r="C3" s="5">
        <v>16100</v>
      </c>
      <c r="D3" s="5">
        <v>1</v>
      </c>
      <c r="E3" s="5">
        <v>16</v>
      </c>
      <c r="F3" s="5" t="s">
        <v>7</v>
      </c>
      <c r="G3" s="5" t="s">
        <v>8</v>
      </c>
    </row>
    <row r="4" spans="1:7" x14ac:dyDescent="0.3">
      <c r="A4" s="4">
        <v>45811</v>
      </c>
      <c r="B4" s="5">
        <v>6</v>
      </c>
      <c r="C4" s="5">
        <v>13800</v>
      </c>
      <c r="D4" s="5">
        <v>1</v>
      </c>
      <c r="E4" s="5">
        <v>15</v>
      </c>
      <c r="F4" s="5" t="s">
        <v>10</v>
      </c>
      <c r="G4" s="5"/>
    </row>
    <row r="5" spans="1:7" x14ac:dyDescent="0.3">
      <c r="A5" s="4">
        <v>45812</v>
      </c>
      <c r="B5" s="5">
        <v>8</v>
      </c>
      <c r="C5" s="5">
        <v>18400</v>
      </c>
      <c r="D5" s="5">
        <v>2</v>
      </c>
      <c r="E5" s="5">
        <v>19</v>
      </c>
      <c r="F5" s="5" t="s">
        <v>10</v>
      </c>
      <c r="G5" s="5"/>
    </row>
    <row r="6" spans="1:7" x14ac:dyDescent="0.3">
      <c r="A6" s="4">
        <v>45813</v>
      </c>
      <c r="B6" s="5">
        <v>5</v>
      </c>
      <c r="C6" s="5">
        <v>11500</v>
      </c>
      <c r="D6" s="5">
        <v>1</v>
      </c>
      <c r="E6" s="5">
        <v>12</v>
      </c>
      <c r="F6" s="5" t="s">
        <v>10</v>
      </c>
      <c r="G6" s="5"/>
    </row>
    <row r="7" spans="1:7" x14ac:dyDescent="0.3">
      <c r="A7" s="4">
        <v>45814</v>
      </c>
      <c r="B7" s="5">
        <v>6</v>
      </c>
      <c r="C7" s="5">
        <v>13800</v>
      </c>
      <c r="D7" s="5">
        <v>1</v>
      </c>
      <c r="E7" s="5">
        <v>14</v>
      </c>
      <c r="F7" s="5" t="s">
        <v>10</v>
      </c>
      <c r="G7" s="5"/>
    </row>
    <row r="8" spans="1:7" x14ac:dyDescent="0.3">
      <c r="A8" s="4">
        <v>45815</v>
      </c>
      <c r="B8" s="5">
        <v>9</v>
      </c>
      <c r="C8" s="5">
        <v>20700</v>
      </c>
      <c r="D8" s="5">
        <v>2</v>
      </c>
      <c r="E8" s="5">
        <v>22</v>
      </c>
      <c r="F8" s="5" t="s">
        <v>10</v>
      </c>
      <c r="G8" s="5"/>
    </row>
    <row r="9" spans="1:7" x14ac:dyDescent="0.3">
      <c r="A9" s="4">
        <v>45816</v>
      </c>
      <c r="B9" s="5">
        <v>8</v>
      </c>
      <c r="C9" s="5">
        <v>18400</v>
      </c>
      <c r="D9" s="5">
        <v>2</v>
      </c>
      <c r="E9" s="5">
        <v>20</v>
      </c>
      <c r="F9" s="5" t="s">
        <v>11</v>
      </c>
      <c r="G9" s="5"/>
    </row>
    <row r="10" spans="1:7" x14ac:dyDescent="0.3">
      <c r="A10" s="4">
        <v>45817</v>
      </c>
      <c r="B10" s="5">
        <v>7</v>
      </c>
      <c r="C10" s="5">
        <v>16100</v>
      </c>
      <c r="D10" s="5">
        <v>1</v>
      </c>
      <c r="E10" s="5">
        <v>16</v>
      </c>
      <c r="F10" s="5" t="s">
        <v>7</v>
      </c>
      <c r="G10" s="5"/>
    </row>
    <row r="11" spans="1:7" x14ac:dyDescent="0.3">
      <c r="A11" s="4">
        <v>45818</v>
      </c>
      <c r="B11" s="5">
        <v>4</v>
      </c>
      <c r="C11" s="5">
        <v>9800</v>
      </c>
      <c r="D11" s="5">
        <v>0</v>
      </c>
      <c r="E11" s="5">
        <v>10</v>
      </c>
      <c r="F11" s="5" t="s">
        <v>7</v>
      </c>
      <c r="G11" s="5" t="s">
        <v>15</v>
      </c>
    </row>
    <row r="12" spans="1:7" x14ac:dyDescent="0.3">
      <c r="A12" s="4">
        <v>45819</v>
      </c>
      <c r="B12" s="5">
        <v>8</v>
      </c>
      <c r="C12" s="5">
        <v>19400</v>
      </c>
      <c r="D12" s="5">
        <v>1</v>
      </c>
      <c r="E12" s="5">
        <v>20</v>
      </c>
      <c r="F12" s="5" t="s">
        <v>7</v>
      </c>
      <c r="G12" s="5" t="s">
        <v>46</v>
      </c>
    </row>
    <row r="13" spans="1:7" x14ac:dyDescent="0.3">
      <c r="A13" s="4">
        <v>45820</v>
      </c>
      <c r="B13" s="5">
        <v>5</v>
      </c>
      <c r="C13" s="5">
        <v>9600</v>
      </c>
      <c r="D13" s="5">
        <v>0</v>
      </c>
      <c r="E13" s="5">
        <v>12</v>
      </c>
      <c r="F13" s="5" t="s">
        <v>7</v>
      </c>
      <c r="G13" s="5" t="s">
        <v>8</v>
      </c>
    </row>
    <row r="14" spans="1:7" x14ac:dyDescent="0.3">
      <c r="A14" s="4">
        <v>45821</v>
      </c>
      <c r="B14" s="5">
        <v>9</v>
      </c>
      <c r="C14" s="5">
        <v>12069</v>
      </c>
      <c r="D14" s="5">
        <v>0</v>
      </c>
      <c r="E14" s="5">
        <v>18</v>
      </c>
      <c r="F14" s="5" t="s">
        <v>7</v>
      </c>
      <c r="G14" s="5"/>
    </row>
    <row r="15" spans="1:7" x14ac:dyDescent="0.3">
      <c r="A15" s="4">
        <v>45822</v>
      </c>
      <c r="B15" s="5">
        <v>2</v>
      </c>
      <c r="C15" s="5">
        <v>5000</v>
      </c>
      <c r="D15" s="5">
        <v>0</v>
      </c>
      <c r="E15" s="5">
        <v>6</v>
      </c>
      <c r="F15" s="5" t="s">
        <v>9</v>
      </c>
      <c r="G15" s="5" t="s">
        <v>47</v>
      </c>
    </row>
    <row r="16" spans="1:7" x14ac:dyDescent="0.3">
      <c r="A16" s="4">
        <v>45823</v>
      </c>
      <c r="B16" s="5">
        <v>5</v>
      </c>
      <c r="C16" s="5">
        <v>11300</v>
      </c>
      <c r="D16" s="5">
        <v>1</v>
      </c>
      <c r="E16" s="5">
        <v>12</v>
      </c>
      <c r="F16" s="5" t="s">
        <v>10</v>
      </c>
      <c r="G16" s="5" t="s">
        <v>13</v>
      </c>
    </row>
    <row r="17" spans="1:7" x14ac:dyDescent="0.3">
      <c r="A17" s="4">
        <v>45824</v>
      </c>
      <c r="B17" s="5">
        <v>14</v>
      </c>
      <c r="C17" s="5">
        <v>30200</v>
      </c>
      <c r="D17" s="5">
        <v>4</v>
      </c>
      <c r="E17" s="5">
        <v>36</v>
      </c>
      <c r="F17" s="5" t="s">
        <v>10</v>
      </c>
      <c r="G17" s="5" t="s">
        <v>48</v>
      </c>
    </row>
    <row r="18" spans="1:7" x14ac:dyDescent="0.3">
      <c r="A18" s="4">
        <v>45825</v>
      </c>
      <c r="B18" s="5">
        <v>15</v>
      </c>
      <c r="C18" s="5">
        <v>36100</v>
      </c>
      <c r="D18" s="5">
        <v>4</v>
      </c>
      <c r="E18" s="5">
        <v>38</v>
      </c>
      <c r="F18" s="5" t="s">
        <v>10</v>
      </c>
      <c r="G18" s="5" t="s">
        <v>49</v>
      </c>
    </row>
    <row r="19" spans="1:7" x14ac:dyDescent="0.3">
      <c r="A19" s="4">
        <v>45826</v>
      </c>
      <c r="B19" s="5">
        <v>7</v>
      </c>
      <c r="C19" s="5">
        <v>17100</v>
      </c>
      <c r="D19" s="5">
        <v>0</v>
      </c>
      <c r="E19" s="5">
        <v>15</v>
      </c>
      <c r="F19" s="5" t="s">
        <v>7</v>
      </c>
      <c r="G19" s="5" t="s">
        <v>8</v>
      </c>
    </row>
    <row r="20" spans="1:7" x14ac:dyDescent="0.3">
      <c r="A20" s="4">
        <v>45827</v>
      </c>
      <c r="B20" s="5">
        <v>10</v>
      </c>
      <c r="C20" s="5">
        <v>19100</v>
      </c>
      <c r="D20" s="5">
        <v>1</v>
      </c>
      <c r="E20" s="5">
        <v>22</v>
      </c>
      <c r="F20" s="5" t="s">
        <v>10</v>
      </c>
      <c r="G20" s="5"/>
    </row>
    <row r="21" spans="1:7" x14ac:dyDescent="0.3">
      <c r="A21" s="4">
        <v>45828</v>
      </c>
      <c r="B21" s="5">
        <v>12</v>
      </c>
      <c r="C21" s="5">
        <v>29400</v>
      </c>
      <c r="D21" s="5">
        <v>3</v>
      </c>
      <c r="E21" s="5">
        <v>28</v>
      </c>
      <c r="F21" s="5" t="s">
        <v>10</v>
      </c>
      <c r="G21" s="5" t="s">
        <v>13</v>
      </c>
    </row>
    <row r="22" spans="1:7" x14ac:dyDescent="0.3">
      <c r="A22" s="4">
        <v>45829</v>
      </c>
      <c r="B22" s="5">
        <v>15</v>
      </c>
      <c r="C22" s="5">
        <v>33200</v>
      </c>
      <c r="D22" s="5">
        <v>1</v>
      </c>
      <c r="E22" s="5">
        <v>35</v>
      </c>
      <c r="F22" s="5" t="s">
        <v>10</v>
      </c>
      <c r="G22" s="5" t="s">
        <v>50</v>
      </c>
    </row>
    <row r="23" spans="1:7" x14ac:dyDescent="0.3">
      <c r="A23" s="4">
        <v>45830</v>
      </c>
      <c r="B23" s="5">
        <v>10</v>
      </c>
      <c r="C23" s="5">
        <v>23300</v>
      </c>
      <c r="D23" s="5">
        <v>4</v>
      </c>
      <c r="E23" s="5">
        <v>25</v>
      </c>
      <c r="F23" s="5" t="s">
        <v>7</v>
      </c>
      <c r="G23" s="5" t="s">
        <v>48</v>
      </c>
    </row>
    <row r="24" spans="1:7" x14ac:dyDescent="0.3">
      <c r="A24" s="4">
        <v>45831</v>
      </c>
      <c r="B24" s="5">
        <v>4</v>
      </c>
      <c r="C24" s="5">
        <v>10140</v>
      </c>
      <c r="D24" s="5">
        <v>2</v>
      </c>
      <c r="E24" s="5">
        <v>10</v>
      </c>
      <c r="F24" s="5" t="s">
        <v>7</v>
      </c>
      <c r="G24" s="5" t="s">
        <v>8</v>
      </c>
    </row>
    <row r="25" spans="1:7" x14ac:dyDescent="0.3">
      <c r="A25" s="4">
        <v>45832</v>
      </c>
      <c r="B25" s="5">
        <v>15</v>
      </c>
      <c r="C25" s="5">
        <v>22840</v>
      </c>
      <c r="D25" s="5">
        <v>1</v>
      </c>
      <c r="E25" s="5">
        <v>30</v>
      </c>
      <c r="F25" s="5" t="s">
        <v>7</v>
      </c>
      <c r="G25" s="5"/>
    </row>
    <row r="26" spans="1:7" x14ac:dyDescent="0.3">
      <c r="A26" s="4">
        <v>45833</v>
      </c>
      <c r="B26" s="5">
        <v>12</v>
      </c>
      <c r="C26" s="5">
        <v>23940</v>
      </c>
      <c r="D26" s="5">
        <v>1</v>
      </c>
      <c r="E26" s="5">
        <v>26</v>
      </c>
      <c r="F26" s="5" t="s">
        <v>7</v>
      </c>
      <c r="G26" s="5"/>
    </row>
    <row r="27" spans="1:7" x14ac:dyDescent="0.3">
      <c r="A27" s="4">
        <v>45834</v>
      </c>
      <c r="B27" s="5">
        <v>8</v>
      </c>
      <c r="C27" s="5">
        <v>13240</v>
      </c>
      <c r="D27" s="5">
        <v>1</v>
      </c>
      <c r="E27" s="5">
        <v>18</v>
      </c>
      <c r="F27" s="5" t="s">
        <v>7</v>
      </c>
      <c r="G27" s="5"/>
    </row>
    <row r="28" spans="1:7" x14ac:dyDescent="0.3">
      <c r="A28" s="4">
        <v>45835</v>
      </c>
      <c r="B28" s="5">
        <v>8</v>
      </c>
      <c r="C28" s="5">
        <v>6800</v>
      </c>
      <c r="D28" s="5">
        <v>1</v>
      </c>
      <c r="E28" s="5">
        <v>15</v>
      </c>
      <c r="F28" s="5" t="s">
        <v>10</v>
      </c>
      <c r="G28" s="5" t="s">
        <v>13</v>
      </c>
    </row>
    <row r="29" spans="1:7" x14ac:dyDescent="0.3">
      <c r="A29" s="4">
        <v>45836</v>
      </c>
      <c r="B29" s="5">
        <v>7</v>
      </c>
      <c r="C29" s="5">
        <v>7300</v>
      </c>
      <c r="D29" s="5">
        <v>0</v>
      </c>
      <c r="E29" s="5">
        <v>14</v>
      </c>
      <c r="F29" s="5" t="s">
        <v>10</v>
      </c>
      <c r="G29" s="5"/>
    </row>
    <row r="30" spans="1:7" x14ac:dyDescent="0.3">
      <c r="A30" s="4">
        <v>45837</v>
      </c>
      <c r="B30" s="5">
        <v>17</v>
      </c>
      <c r="C30" s="5">
        <v>26400</v>
      </c>
      <c r="D30" s="5">
        <v>2</v>
      </c>
      <c r="E30" s="5">
        <v>38</v>
      </c>
      <c r="F30" s="5" t="s">
        <v>10</v>
      </c>
      <c r="G30" s="5" t="s">
        <v>51</v>
      </c>
    </row>
    <row r="31" spans="1:7" x14ac:dyDescent="0.3">
      <c r="A31" s="4">
        <v>45838</v>
      </c>
      <c r="B31" s="5">
        <v>9</v>
      </c>
      <c r="C31" s="5">
        <v>26500</v>
      </c>
      <c r="D31" s="5">
        <v>2</v>
      </c>
      <c r="E31" s="5">
        <v>20</v>
      </c>
      <c r="F31" s="5" t="s">
        <v>7</v>
      </c>
      <c r="G31" s="5"/>
    </row>
    <row r="33" spans="1:5" x14ac:dyDescent="0.3">
      <c r="A33" s="13" t="s">
        <v>83</v>
      </c>
      <c r="B33" s="3">
        <f>AVERAGE(B2:B31)</f>
        <v>8.6</v>
      </c>
      <c r="C33" s="3">
        <f t="shared" ref="C33:E33" si="0">AVERAGE(C2:C31)</f>
        <v>17844.3</v>
      </c>
      <c r="D33" s="3">
        <f t="shared" si="0"/>
        <v>1.3666666666666667</v>
      </c>
      <c r="E33" s="3">
        <f t="shared" si="0"/>
        <v>19.866666666666667</v>
      </c>
    </row>
    <row r="34" spans="1:5" x14ac:dyDescent="0.3">
      <c r="A34" s="13" t="s">
        <v>89</v>
      </c>
      <c r="B34" s="3">
        <f>_xlfn.STDEV.P(B2:B31)</f>
        <v>3.6842005012394932</v>
      </c>
      <c r="C34" s="3">
        <f t="shared" ref="C34:E34" si="1">_xlfn.STDEV.P(C2:C31)</f>
        <v>7940.4993258190843</v>
      </c>
      <c r="D34" s="3">
        <f t="shared" si="1"/>
        <v>1.1396880664852507</v>
      </c>
      <c r="E34" s="3">
        <f t="shared" si="1"/>
        <v>8.5116913060148569</v>
      </c>
    </row>
    <row r="35" spans="1:5" x14ac:dyDescent="0.3">
      <c r="A35" s="13" t="s">
        <v>93</v>
      </c>
      <c r="B35" s="3">
        <f>SUM(B2:B31)</f>
        <v>258</v>
      </c>
      <c r="C35" s="3">
        <f>SUM(C2:C31)</f>
        <v>535329</v>
      </c>
      <c r="D35" s="3">
        <f t="shared" ref="D35:E35" si="2">SUM(D2:D31)</f>
        <v>41</v>
      </c>
      <c r="E35" s="3">
        <f t="shared" si="2"/>
        <v>596</v>
      </c>
    </row>
    <row r="36" spans="1:5" x14ac:dyDescent="0.3">
      <c r="A36" s="13" t="s">
        <v>100</v>
      </c>
      <c r="D36" s="27">
        <f>D35+E35</f>
        <v>637</v>
      </c>
      <c r="E36" s="27"/>
    </row>
  </sheetData>
  <mergeCells count="1">
    <mergeCell ref="D36:E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24D8-301C-4FFF-B960-94E83F528FF3}">
  <dimension ref="A1:G37"/>
  <sheetViews>
    <sheetView zoomScale="63" workbookViewId="0">
      <selection activeCell="A37" sqref="A37"/>
    </sheetView>
  </sheetViews>
  <sheetFormatPr defaultRowHeight="14.4" x14ac:dyDescent="0.3"/>
  <cols>
    <col min="1" max="1" width="24.21875" style="3" bestFit="1" customWidth="1"/>
    <col min="2" max="2" width="16.33203125" style="3" bestFit="1" customWidth="1"/>
    <col min="3" max="3" width="17.44140625" style="3" bestFit="1" customWidth="1"/>
    <col min="4" max="4" width="16.33203125" style="3" bestFit="1" customWidth="1"/>
    <col min="5" max="5" width="17.77734375" style="3" bestFit="1" customWidth="1"/>
    <col min="6" max="6" width="10.33203125" style="3" bestFit="1" customWidth="1"/>
    <col min="7" max="7" width="19.8867187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45839</v>
      </c>
      <c r="B2" s="5">
        <v>6</v>
      </c>
      <c r="C2" s="5">
        <v>14100</v>
      </c>
      <c r="D2" s="5">
        <v>0</v>
      </c>
      <c r="E2" s="5">
        <v>14</v>
      </c>
      <c r="F2" s="5" t="s">
        <v>7</v>
      </c>
      <c r="G2" s="5"/>
    </row>
    <row r="3" spans="1:7" x14ac:dyDescent="0.3">
      <c r="A3" s="4">
        <v>45840</v>
      </c>
      <c r="B3" s="5">
        <v>13</v>
      </c>
      <c r="C3" s="5">
        <v>28900</v>
      </c>
      <c r="D3" s="5">
        <v>1</v>
      </c>
      <c r="E3" s="5">
        <v>32</v>
      </c>
      <c r="F3" s="5" t="s">
        <v>7</v>
      </c>
      <c r="G3" s="5"/>
    </row>
    <row r="4" spans="1:7" x14ac:dyDescent="0.3">
      <c r="A4" s="4">
        <v>45841</v>
      </c>
      <c r="B4" s="5">
        <v>9</v>
      </c>
      <c r="C4" s="5">
        <v>18300</v>
      </c>
      <c r="D4" s="5">
        <v>0</v>
      </c>
      <c r="E4" s="5">
        <v>22</v>
      </c>
      <c r="F4" s="5" t="s">
        <v>7</v>
      </c>
      <c r="G4" s="5"/>
    </row>
    <row r="5" spans="1:7" x14ac:dyDescent="0.3">
      <c r="A5" s="4">
        <v>45842</v>
      </c>
      <c r="B5" s="5">
        <v>9</v>
      </c>
      <c r="C5" s="5">
        <v>21900</v>
      </c>
      <c r="D5" s="5">
        <v>2</v>
      </c>
      <c r="E5" s="5">
        <v>23</v>
      </c>
      <c r="F5" s="5" t="s">
        <v>7</v>
      </c>
      <c r="G5" s="5" t="s">
        <v>48</v>
      </c>
    </row>
    <row r="6" spans="1:7" x14ac:dyDescent="0.3">
      <c r="A6" s="4">
        <v>45843</v>
      </c>
      <c r="B6" s="5">
        <v>12</v>
      </c>
      <c r="C6" s="5">
        <v>11800</v>
      </c>
      <c r="D6" s="5">
        <v>2</v>
      </c>
      <c r="E6" s="5">
        <v>26</v>
      </c>
      <c r="F6" s="5" t="s">
        <v>10</v>
      </c>
      <c r="G6" s="5" t="s">
        <v>13</v>
      </c>
    </row>
    <row r="7" spans="1:7" x14ac:dyDescent="0.3">
      <c r="A7" s="4">
        <v>45844</v>
      </c>
      <c r="B7" s="5">
        <v>10</v>
      </c>
      <c r="C7" s="5">
        <v>21000</v>
      </c>
      <c r="D7" s="5">
        <v>1</v>
      </c>
      <c r="E7" s="5">
        <v>24</v>
      </c>
      <c r="F7" s="5" t="s">
        <v>10</v>
      </c>
      <c r="G7" s="5"/>
    </row>
    <row r="8" spans="1:7" x14ac:dyDescent="0.3">
      <c r="A8" s="4">
        <v>45845</v>
      </c>
      <c r="B8" s="5">
        <v>7</v>
      </c>
      <c r="C8" s="5">
        <v>16000</v>
      </c>
      <c r="D8" s="5">
        <v>0</v>
      </c>
      <c r="E8" s="5">
        <v>17</v>
      </c>
      <c r="F8" s="5" t="s">
        <v>7</v>
      </c>
      <c r="G8" s="5" t="s">
        <v>8</v>
      </c>
    </row>
    <row r="9" spans="1:7" x14ac:dyDescent="0.3">
      <c r="A9" s="4">
        <v>45846</v>
      </c>
      <c r="B9" s="5">
        <v>4</v>
      </c>
      <c r="C9" s="5">
        <v>9200</v>
      </c>
      <c r="D9" s="5">
        <v>0</v>
      </c>
      <c r="E9" s="5">
        <v>10</v>
      </c>
      <c r="F9" s="5" t="s">
        <v>7</v>
      </c>
      <c r="G9" s="5" t="s">
        <v>52</v>
      </c>
    </row>
    <row r="10" spans="1:7" x14ac:dyDescent="0.3">
      <c r="A10" s="4">
        <v>45847</v>
      </c>
      <c r="B10" s="5">
        <v>4</v>
      </c>
      <c r="C10" s="5">
        <v>9000</v>
      </c>
      <c r="D10" s="5">
        <v>0</v>
      </c>
      <c r="E10" s="5">
        <v>10</v>
      </c>
      <c r="F10" s="5" t="s">
        <v>7</v>
      </c>
      <c r="G10" s="5" t="s">
        <v>52</v>
      </c>
    </row>
    <row r="11" spans="1:7" x14ac:dyDescent="0.3">
      <c r="A11" s="4">
        <v>45848</v>
      </c>
      <c r="B11" s="5">
        <v>6</v>
      </c>
      <c r="C11" s="5">
        <v>13800</v>
      </c>
      <c r="D11" s="5">
        <v>0</v>
      </c>
      <c r="E11" s="5">
        <v>14</v>
      </c>
      <c r="F11" s="5" t="s">
        <v>7</v>
      </c>
      <c r="G11" s="5" t="s">
        <v>8</v>
      </c>
    </row>
    <row r="12" spans="1:7" x14ac:dyDescent="0.3">
      <c r="A12" s="4">
        <v>45849</v>
      </c>
      <c r="B12" s="5">
        <v>6</v>
      </c>
      <c r="C12" s="5">
        <v>13500</v>
      </c>
      <c r="D12" s="5">
        <v>0</v>
      </c>
      <c r="E12" s="5">
        <v>14</v>
      </c>
      <c r="F12" s="5" t="s">
        <v>7</v>
      </c>
      <c r="G12" s="5"/>
    </row>
    <row r="13" spans="1:7" x14ac:dyDescent="0.3">
      <c r="A13" s="4">
        <v>45850</v>
      </c>
      <c r="B13" s="5">
        <v>10</v>
      </c>
      <c r="C13" s="5">
        <v>23000</v>
      </c>
      <c r="D13" s="5">
        <v>0</v>
      </c>
      <c r="E13" s="5">
        <v>25</v>
      </c>
      <c r="F13" s="5" t="s">
        <v>7</v>
      </c>
      <c r="G13" s="5" t="s">
        <v>53</v>
      </c>
    </row>
    <row r="14" spans="1:7" x14ac:dyDescent="0.3">
      <c r="A14" s="4">
        <v>45851</v>
      </c>
      <c r="B14" s="5">
        <v>9</v>
      </c>
      <c r="C14" s="5">
        <v>20700</v>
      </c>
      <c r="D14" s="5">
        <v>0</v>
      </c>
      <c r="E14" s="5">
        <v>22</v>
      </c>
      <c r="F14" s="5" t="s">
        <v>7</v>
      </c>
      <c r="G14" s="5" t="s">
        <v>8</v>
      </c>
    </row>
    <row r="15" spans="1:7" x14ac:dyDescent="0.3">
      <c r="A15" s="4">
        <v>45852</v>
      </c>
      <c r="B15" s="5">
        <v>6</v>
      </c>
      <c r="C15" s="5">
        <v>12300</v>
      </c>
      <c r="D15" s="5">
        <v>1</v>
      </c>
      <c r="E15" s="5">
        <v>14</v>
      </c>
      <c r="F15" s="5" t="s">
        <v>7</v>
      </c>
      <c r="G15" s="5"/>
    </row>
    <row r="16" spans="1:7" x14ac:dyDescent="0.3">
      <c r="A16" s="4">
        <v>45853</v>
      </c>
      <c r="B16" s="5">
        <v>9</v>
      </c>
      <c r="C16" s="5">
        <v>13780</v>
      </c>
      <c r="D16" s="5">
        <v>1</v>
      </c>
      <c r="E16" s="5">
        <v>22</v>
      </c>
      <c r="F16" s="5" t="s">
        <v>7</v>
      </c>
      <c r="G16" s="5"/>
    </row>
    <row r="17" spans="1:7" x14ac:dyDescent="0.3">
      <c r="A17" s="4">
        <v>45854</v>
      </c>
      <c r="B17" s="5">
        <v>16</v>
      </c>
      <c r="C17" s="5">
        <v>19470</v>
      </c>
      <c r="D17" s="5">
        <v>0</v>
      </c>
      <c r="E17" s="5">
        <v>38</v>
      </c>
      <c r="F17" s="5" t="s">
        <v>7</v>
      </c>
      <c r="G17" s="5" t="s">
        <v>54</v>
      </c>
    </row>
    <row r="18" spans="1:7" x14ac:dyDescent="0.3">
      <c r="A18" s="4">
        <v>45855</v>
      </c>
      <c r="B18" s="5">
        <v>13</v>
      </c>
      <c r="C18" s="5">
        <v>10830</v>
      </c>
      <c r="D18" s="5">
        <v>0</v>
      </c>
      <c r="E18" s="5">
        <v>30</v>
      </c>
      <c r="F18" s="5" t="s">
        <v>7</v>
      </c>
      <c r="G18" s="5"/>
    </row>
    <row r="19" spans="1:7" x14ac:dyDescent="0.3">
      <c r="A19" s="4">
        <v>45856</v>
      </c>
      <c r="B19" s="5">
        <v>15</v>
      </c>
      <c r="C19" s="5">
        <v>31500</v>
      </c>
      <c r="D19" s="5">
        <v>0</v>
      </c>
      <c r="E19" s="5">
        <v>36</v>
      </c>
      <c r="F19" s="5" t="s">
        <v>7</v>
      </c>
      <c r="G19" s="5"/>
    </row>
    <row r="20" spans="1:7" x14ac:dyDescent="0.3">
      <c r="A20" s="4">
        <v>45857</v>
      </c>
      <c r="B20" s="5">
        <v>18</v>
      </c>
      <c r="C20" s="5">
        <v>36000</v>
      </c>
      <c r="D20" s="5">
        <v>0</v>
      </c>
      <c r="E20" s="5">
        <v>40</v>
      </c>
      <c r="F20" s="5" t="s">
        <v>7</v>
      </c>
      <c r="G20" s="5" t="s">
        <v>55</v>
      </c>
    </row>
    <row r="21" spans="1:7" x14ac:dyDescent="0.3">
      <c r="A21" s="4">
        <v>45858</v>
      </c>
      <c r="B21" s="5">
        <v>12</v>
      </c>
      <c r="C21" s="5">
        <v>26000</v>
      </c>
      <c r="D21" s="5">
        <v>0</v>
      </c>
      <c r="E21" s="5">
        <v>28</v>
      </c>
      <c r="F21" s="5" t="s">
        <v>7</v>
      </c>
      <c r="G21" s="5" t="s">
        <v>8</v>
      </c>
    </row>
    <row r="22" spans="1:7" x14ac:dyDescent="0.3">
      <c r="A22" s="4">
        <v>45859</v>
      </c>
      <c r="B22" s="5">
        <v>8</v>
      </c>
      <c r="C22" s="5">
        <v>17500</v>
      </c>
      <c r="D22" s="5">
        <v>0</v>
      </c>
      <c r="E22" s="5">
        <v>19</v>
      </c>
      <c r="F22" s="5" t="s">
        <v>7</v>
      </c>
      <c r="G22" s="5"/>
    </row>
    <row r="23" spans="1:7" x14ac:dyDescent="0.3">
      <c r="A23" s="4">
        <v>45860</v>
      </c>
      <c r="B23" s="5">
        <v>9</v>
      </c>
      <c r="C23" s="5">
        <v>19500</v>
      </c>
      <c r="D23" s="5">
        <v>0</v>
      </c>
      <c r="E23" s="5">
        <v>22</v>
      </c>
      <c r="F23" s="5" t="s">
        <v>7</v>
      </c>
      <c r="G23" s="5"/>
    </row>
    <row r="24" spans="1:7" x14ac:dyDescent="0.3">
      <c r="A24" s="4">
        <v>45861</v>
      </c>
      <c r="B24" s="5">
        <v>11</v>
      </c>
      <c r="C24" s="5">
        <v>24000</v>
      </c>
      <c r="D24" s="5">
        <v>0</v>
      </c>
      <c r="E24" s="5">
        <v>26</v>
      </c>
      <c r="F24" s="5" t="s">
        <v>7</v>
      </c>
      <c r="G24" s="5" t="s">
        <v>13</v>
      </c>
    </row>
    <row r="25" spans="1:7" x14ac:dyDescent="0.3">
      <c r="A25" s="4">
        <v>45862</v>
      </c>
      <c r="B25" s="5">
        <v>6</v>
      </c>
      <c r="C25" s="5">
        <v>10640</v>
      </c>
      <c r="D25" s="5">
        <v>0</v>
      </c>
      <c r="E25" s="5">
        <v>14</v>
      </c>
      <c r="F25" s="5" t="s">
        <v>7</v>
      </c>
      <c r="G25" s="5" t="s">
        <v>8</v>
      </c>
    </row>
    <row r="26" spans="1:7" x14ac:dyDescent="0.3">
      <c r="A26" s="4">
        <v>45863</v>
      </c>
      <c r="B26" s="5">
        <v>9</v>
      </c>
      <c r="C26" s="5">
        <v>17370</v>
      </c>
      <c r="D26" s="5">
        <v>1</v>
      </c>
      <c r="E26" s="5">
        <v>21</v>
      </c>
      <c r="F26" s="5" t="s">
        <v>7</v>
      </c>
      <c r="G26" s="5"/>
    </row>
    <row r="27" spans="1:7" x14ac:dyDescent="0.3">
      <c r="A27" s="4">
        <v>45864</v>
      </c>
      <c r="B27" s="5">
        <v>25</v>
      </c>
      <c r="C27" s="5">
        <v>33570</v>
      </c>
      <c r="D27" s="5">
        <v>2</v>
      </c>
      <c r="E27" s="5">
        <v>55</v>
      </c>
      <c r="F27" s="5" t="s">
        <v>10</v>
      </c>
      <c r="G27" s="5"/>
    </row>
    <row r="28" spans="1:7" x14ac:dyDescent="0.3">
      <c r="A28" s="4">
        <v>45865</v>
      </c>
      <c r="B28" s="5">
        <v>10</v>
      </c>
      <c r="C28" s="5">
        <v>33850</v>
      </c>
      <c r="D28" s="5">
        <v>2</v>
      </c>
      <c r="E28" s="5">
        <v>24</v>
      </c>
      <c r="F28" s="5" t="s">
        <v>10</v>
      </c>
      <c r="G28" s="5" t="s">
        <v>54</v>
      </c>
    </row>
    <row r="29" spans="1:7" x14ac:dyDescent="0.3">
      <c r="A29" s="4">
        <v>45866</v>
      </c>
      <c r="B29" s="5">
        <v>14</v>
      </c>
      <c r="C29" s="5">
        <v>14170</v>
      </c>
      <c r="D29" s="5">
        <v>0</v>
      </c>
      <c r="E29" s="5">
        <v>32</v>
      </c>
      <c r="F29" s="5" t="s">
        <v>10</v>
      </c>
      <c r="G29" s="5" t="s">
        <v>13</v>
      </c>
    </row>
    <row r="30" spans="1:7" x14ac:dyDescent="0.3">
      <c r="A30" s="4">
        <v>45867</v>
      </c>
      <c r="B30" s="5">
        <v>15</v>
      </c>
      <c r="C30" s="5">
        <v>9600</v>
      </c>
      <c r="D30" s="5">
        <v>2</v>
      </c>
      <c r="E30" s="5">
        <v>35</v>
      </c>
      <c r="F30" s="5" t="s">
        <v>10</v>
      </c>
      <c r="G30" s="5" t="s">
        <v>56</v>
      </c>
    </row>
    <row r="31" spans="1:7" x14ac:dyDescent="0.3">
      <c r="A31" s="4">
        <v>45868</v>
      </c>
      <c r="B31" s="5">
        <v>17</v>
      </c>
      <c r="C31" s="5">
        <v>6600</v>
      </c>
      <c r="D31" s="5">
        <v>4</v>
      </c>
      <c r="E31" s="5">
        <v>40</v>
      </c>
      <c r="F31" s="5" t="s">
        <v>10</v>
      </c>
      <c r="G31" s="5"/>
    </row>
    <row r="32" spans="1:7" x14ac:dyDescent="0.3">
      <c r="A32" s="4">
        <v>45869</v>
      </c>
      <c r="B32" s="5">
        <v>16</v>
      </c>
      <c r="C32" s="5">
        <v>19600</v>
      </c>
      <c r="D32" s="5">
        <v>7</v>
      </c>
      <c r="E32" s="5">
        <v>38</v>
      </c>
      <c r="F32" s="5" t="s">
        <v>10</v>
      </c>
      <c r="G32" s="5"/>
    </row>
    <row r="34" spans="1:5" x14ac:dyDescent="0.3">
      <c r="A34" s="13" t="s">
        <v>83</v>
      </c>
      <c r="B34" s="3">
        <f>AVERAGE(B2:B32)</f>
        <v>10.774193548387096</v>
      </c>
      <c r="C34" s="3">
        <f t="shared" ref="C34:E34" si="0">AVERAGE(C2:C32)</f>
        <v>18628.387096774193</v>
      </c>
      <c r="D34" s="3">
        <f t="shared" si="0"/>
        <v>0.83870967741935487</v>
      </c>
      <c r="E34" s="3">
        <f t="shared" si="0"/>
        <v>25.387096774193548</v>
      </c>
    </row>
    <row r="35" spans="1:5" x14ac:dyDescent="0.3">
      <c r="A35" s="13" t="s">
        <v>89</v>
      </c>
      <c r="B35" s="3">
        <f>_xlfn.STDEV.P(B2:B32)</f>
        <v>4.5981039389629679</v>
      </c>
      <c r="C35" s="3">
        <f t="shared" ref="C35:E35" si="1">_xlfn.STDEV.P(C2:C32)</f>
        <v>7819.9909647560189</v>
      </c>
      <c r="D35" s="3">
        <f t="shared" si="1"/>
        <v>1.4831695396867934</v>
      </c>
      <c r="E35" s="3">
        <f t="shared" si="1"/>
        <v>10.241211556838628</v>
      </c>
    </row>
    <row r="36" spans="1:5" x14ac:dyDescent="0.3">
      <c r="A36" s="13" t="s">
        <v>93</v>
      </c>
      <c r="B36" s="3">
        <f>SUM(B2:B32)</f>
        <v>334</v>
      </c>
      <c r="C36" s="3">
        <f>SUM(C2:C32)</f>
        <v>577480</v>
      </c>
      <c r="D36" s="3">
        <f t="shared" ref="D36:E36" si="2">SUM(D2:D32)</f>
        <v>26</v>
      </c>
      <c r="E36" s="3">
        <f t="shared" si="2"/>
        <v>787</v>
      </c>
    </row>
    <row r="37" spans="1:5" x14ac:dyDescent="0.3">
      <c r="A37" s="13" t="s">
        <v>100</v>
      </c>
      <c r="D37" s="27">
        <f>D36+E36</f>
        <v>813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AB28-178B-4341-98EB-C99E044A2BC7}">
  <dimension ref="A1:G37"/>
  <sheetViews>
    <sheetView zoomScale="58" workbookViewId="0">
      <selection activeCell="A37" sqref="A37"/>
    </sheetView>
  </sheetViews>
  <sheetFormatPr defaultRowHeight="14.4" x14ac:dyDescent="0.3"/>
  <cols>
    <col min="1" max="1" width="35.33203125" style="3" bestFit="1" customWidth="1"/>
    <col min="2" max="2" width="22.5546875" style="3" bestFit="1" customWidth="1"/>
    <col min="3" max="3" width="23.109375" style="3" bestFit="1" customWidth="1"/>
    <col min="4" max="4" width="22.33203125" style="3" bestFit="1" customWidth="1"/>
    <col min="5" max="5" width="24.6640625" style="3" bestFit="1" customWidth="1"/>
    <col min="6" max="6" width="14.109375" style="3" bestFit="1" customWidth="1"/>
    <col min="7" max="7" width="22.8867187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45870</v>
      </c>
      <c r="B2" s="5">
        <v>8</v>
      </c>
      <c r="C2" s="5">
        <v>11700</v>
      </c>
      <c r="D2" s="5">
        <v>0</v>
      </c>
      <c r="E2" s="5">
        <v>16</v>
      </c>
      <c r="F2" s="5" t="s">
        <v>7</v>
      </c>
      <c r="G2" s="5" t="s">
        <v>57</v>
      </c>
    </row>
    <row r="3" spans="1:7" x14ac:dyDescent="0.3">
      <c r="A3" s="4">
        <v>45871</v>
      </c>
      <c r="B3" s="5">
        <v>9</v>
      </c>
      <c r="C3" s="5">
        <v>15600</v>
      </c>
      <c r="D3" s="5">
        <v>2</v>
      </c>
      <c r="E3" s="5">
        <v>20</v>
      </c>
      <c r="F3" s="5" t="s">
        <v>10</v>
      </c>
      <c r="G3" s="5"/>
    </row>
    <row r="4" spans="1:7" x14ac:dyDescent="0.3">
      <c r="A4" s="4">
        <v>45872</v>
      </c>
      <c r="B4" s="5">
        <v>12</v>
      </c>
      <c r="C4" s="5">
        <v>20100</v>
      </c>
      <c r="D4" s="5">
        <v>3</v>
      </c>
      <c r="E4" s="5">
        <v>26</v>
      </c>
      <c r="F4" s="5" t="s">
        <v>7</v>
      </c>
      <c r="G4" s="5"/>
    </row>
    <row r="5" spans="1:7" x14ac:dyDescent="0.3">
      <c r="A5" s="4">
        <v>45873</v>
      </c>
      <c r="B5" s="5">
        <v>10</v>
      </c>
      <c r="C5" s="5">
        <v>18400</v>
      </c>
      <c r="D5" s="5">
        <v>2</v>
      </c>
      <c r="E5" s="5">
        <v>23</v>
      </c>
      <c r="F5" s="5" t="s">
        <v>7</v>
      </c>
      <c r="G5" s="5"/>
    </row>
    <row r="6" spans="1:7" x14ac:dyDescent="0.3">
      <c r="A6" s="4">
        <v>45874</v>
      </c>
      <c r="B6" s="5">
        <v>1</v>
      </c>
      <c r="C6" s="5">
        <v>2300</v>
      </c>
      <c r="D6" s="5">
        <v>0</v>
      </c>
      <c r="E6" s="5">
        <v>3</v>
      </c>
      <c r="F6" s="5" t="s">
        <v>9</v>
      </c>
      <c r="G6" s="5" t="s">
        <v>58</v>
      </c>
    </row>
    <row r="7" spans="1:7" x14ac:dyDescent="0.3">
      <c r="A7" s="4">
        <v>45875</v>
      </c>
      <c r="B7" s="5">
        <v>3</v>
      </c>
      <c r="C7" s="5">
        <v>6900</v>
      </c>
      <c r="D7" s="5">
        <v>0</v>
      </c>
      <c r="E7" s="5">
        <v>8</v>
      </c>
      <c r="F7" s="5" t="s">
        <v>7</v>
      </c>
      <c r="G7" s="5"/>
    </row>
    <row r="8" spans="1:7" x14ac:dyDescent="0.3">
      <c r="A8" s="4">
        <v>45876</v>
      </c>
      <c r="B8" s="5">
        <v>4</v>
      </c>
      <c r="C8" s="5">
        <v>9200</v>
      </c>
      <c r="D8" s="5">
        <v>1</v>
      </c>
      <c r="E8" s="5">
        <v>10</v>
      </c>
      <c r="F8" s="5" t="s">
        <v>10</v>
      </c>
      <c r="G8" s="5"/>
    </row>
    <row r="9" spans="1:7" x14ac:dyDescent="0.3">
      <c r="A9" s="4">
        <v>45877</v>
      </c>
      <c r="B9" s="5">
        <v>9</v>
      </c>
      <c r="C9" s="5">
        <v>17100</v>
      </c>
      <c r="D9" s="5">
        <v>2</v>
      </c>
      <c r="E9" s="5">
        <v>22</v>
      </c>
      <c r="F9" s="5" t="s">
        <v>7</v>
      </c>
      <c r="G9" s="5"/>
    </row>
    <row r="10" spans="1:7" x14ac:dyDescent="0.3">
      <c r="A10" s="4">
        <v>45878</v>
      </c>
      <c r="B10" s="5">
        <v>6</v>
      </c>
      <c r="C10" s="5">
        <v>12600</v>
      </c>
      <c r="D10" s="5">
        <v>1</v>
      </c>
      <c r="E10" s="5">
        <v>15</v>
      </c>
      <c r="F10" s="5" t="s">
        <v>10</v>
      </c>
      <c r="G10" s="5"/>
    </row>
    <row r="11" spans="1:7" x14ac:dyDescent="0.3">
      <c r="A11" s="4">
        <v>45879</v>
      </c>
      <c r="B11" s="5">
        <v>5</v>
      </c>
      <c r="C11" s="5">
        <v>11500</v>
      </c>
      <c r="D11" s="5">
        <v>1</v>
      </c>
      <c r="E11" s="5">
        <v>13</v>
      </c>
      <c r="F11" s="5" t="s">
        <v>10</v>
      </c>
      <c r="G11" s="5"/>
    </row>
    <row r="12" spans="1:7" x14ac:dyDescent="0.3">
      <c r="A12" s="4">
        <v>45880</v>
      </c>
      <c r="B12" s="5">
        <v>10</v>
      </c>
      <c r="C12" s="5">
        <v>26310</v>
      </c>
      <c r="D12" s="5">
        <v>2</v>
      </c>
      <c r="E12" s="5">
        <v>25</v>
      </c>
      <c r="F12" s="5" t="s">
        <v>7</v>
      </c>
      <c r="G12" s="5"/>
    </row>
    <row r="13" spans="1:7" x14ac:dyDescent="0.3">
      <c r="A13" s="4">
        <v>45881</v>
      </c>
      <c r="B13" s="5">
        <v>1</v>
      </c>
      <c r="C13" s="5">
        <v>2600</v>
      </c>
      <c r="D13" s="5">
        <v>0</v>
      </c>
      <c r="E13" s="5">
        <v>3</v>
      </c>
      <c r="F13" s="5" t="s">
        <v>9</v>
      </c>
      <c r="G13" s="5"/>
    </row>
    <row r="14" spans="1:7" x14ac:dyDescent="0.3">
      <c r="A14" s="4">
        <v>45882</v>
      </c>
      <c r="B14" s="5">
        <v>18</v>
      </c>
      <c r="C14" s="5">
        <v>43000</v>
      </c>
      <c r="D14" s="5">
        <v>5</v>
      </c>
      <c r="E14" s="5">
        <v>45</v>
      </c>
      <c r="F14" s="5" t="s">
        <v>10</v>
      </c>
      <c r="G14" s="5"/>
    </row>
    <row r="15" spans="1:7" x14ac:dyDescent="0.3">
      <c r="A15" s="4">
        <v>45883</v>
      </c>
      <c r="B15" s="5">
        <v>10</v>
      </c>
      <c r="C15" s="5">
        <v>54900</v>
      </c>
      <c r="D15" s="5">
        <v>4</v>
      </c>
      <c r="E15" s="5">
        <v>30</v>
      </c>
      <c r="F15" s="5" t="s">
        <v>10</v>
      </c>
      <c r="G15" s="5"/>
    </row>
    <row r="16" spans="1:7" x14ac:dyDescent="0.3">
      <c r="A16" s="4">
        <v>45884</v>
      </c>
      <c r="B16" s="5">
        <v>2</v>
      </c>
      <c r="C16" s="5">
        <v>4600</v>
      </c>
      <c r="D16" s="5">
        <v>0</v>
      </c>
      <c r="E16" s="5">
        <v>5</v>
      </c>
      <c r="F16" s="5" t="s">
        <v>7</v>
      </c>
      <c r="G16" s="5"/>
    </row>
    <row r="17" spans="1:7" x14ac:dyDescent="0.3">
      <c r="A17" s="4">
        <v>45885</v>
      </c>
      <c r="B17" s="5">
        <v>5</v>
      </c>
      <c r="C17" s="5">
        <v>11500</v>
      </c>
      <c r="D17" s="5">
        <v>1</v>
      </c>
      <c r="E17" s="5">
        <v>12</v>
      </c>
      <c r="F17" s="5" t="s">
        <v>7</v>
      </c>
      <c r="G17" s="5" t="s">
        <v>8</v>
      </c>
    </row>
    <row r="18" spans="1:7" x14ac:dyDescent="0.3">
      <c r="A18" s="4">
        <v>45886</v>
      </c>
      <c r="B18" s="5">
        <v>23</v>
      </c>
      <c r="C18" s="5">
        <v>45000</v>
      </c>
      <c r="D18" s="5">
        <v>6</v>
      </c>
      <c r="E18" s="5">
        <v>55</v>
      </c>
      <c r="F18" s="5" t="s">
        <v>10</v>
      </c>
      <c r="G18" s="5" t="s">
        <v>59</v>
      </c>
    </row>
    <row r="19" spans="1:7" x14ac:dyDescent="0.3">
      <c r="A19" s="4">
        <v>45887</v>
      </c>
      <c r="B19" s="5">
        <v>8</v>
      </c>
      <c r="C19" s="5">
        <v>19171</v>
      </c>
      <c r="D19" s="5">
        <v>2</v>
      </c>
      <c r="E19" s="5">
        <v>20</v>
      </c>
      <c r="F19" s="5" t="s">
        <v>7</v>
      </c>
      <c r="G19" s="5"/>
    </row>
    <row r="20" spans="1:7" x14ac:dyDescent="0.3">
      <c r="A20" s="4">
        <v>45888</v>
      </c>
      <c r="B20" s="5">
        <v>8</v>
      </c>
      <c r="C20" s="5">
        <v>15740</v>
      </c>
      <c r="D20" s="5">
        <v>1</v>
      </c>
      <c r="E20" s="5">
        <v>18</v>
      </c>
      <c r="F20" s="5" t="s">
        <v>7</v>
      </c>
      <c r="G20" s="5" t="s">
        <v>8</v>
      </c>
    </row>
    <row r="21" spans="1:7" x14ac:dyDescent="0.3">
      <c r="A21" s="4">
        <v>45889</v>
      </c>
      <c r="B21" s="5">
        <v>8</v>
      </c>
      <c r="C21" s="5">
        <v>14540</v>
      </c>
      <c r="D21" s="5">
        <v>1</v>
      </c>
      <c r="E21" s="5">
        <v>18</v>
      </c>
      <c r="F21" s="5" t="s">
        <v>7</v>
      </c>
      <c r="G21" s="5" t="s">
        <v>8</v>
      </c>
    </row>
    <row r="22" spans="1:7" x14ac:dyDescent="0.3">
      <c r="A22" s="4">
        <v>45890</v>
      </c>
      <c r="B22" s="5">
        <v>6</v>
      </c>
      <c r="C22" s="5">
        <v>13060</v>
      </c>
      <c r="D22" s="5">
        <v>1</v>
      </c>
      <c r="E22" s="5">
        <v>14</v>
      </c>
      <c r="F22" s="5" t="s">
        <v>7</v>
      </c>
      <c r="G22" s="5"/>
    </row>
    <row r="23" spans="1:7" x14ac:dyDescent="0.3">
      <c r="A23" s="4">
        <v>45891</v>
      </c>
      <c r="B23" s="5">
        <v>8</v>
      </c>
      <c r="C23" s="5">
        <v>13819</v>
      </c>
      <c r="D23" s="5">
        <v>1</v>
      </c>
      <c r="E23" s="5">
        <v>18</v>
      </c>
      <c r="F23" s="5" t="s">
        <v>10</v>
      </c>
      <c r="G23" s="5" t="s">
        <v>13</v>
      </c>
    </row>
    <row r="24" spans="1:7" x14ac:dyDescent="0.3">
      <c r="A24" s="4">
        <v>45892</v>
      </c>
      <c r="B24" s="5">
        <v>4</v>
      </c>
      <c r="C24" s="5">
        <v>18000</v>
      </c>
      <c r="D24" s="5">
        <v>1</v>
      </c>
      <c r="E24" s="5">
        <v>10</v>
      </c>
      <c r="F24" s="5" t="s">
        <v>7</v>
      </c>
      <c r="G24" s="5" t="s">
        <v>60</v>
      </c>
    </row>
    <row r="25" spans="1:7" x14ac:dyDescent="0.3">
      <c r="A25" s="4">
        <v>45893</v>
      </c>
      <c r="B25" s="5">
        <v>10</v>
      </c>
      <c r="C25" s="5">
        <v>25900</v>
      </c>
      <c r="D25" s="5">
        <v>3</v>
      </c>
      <c r="E25" s="5">
        <v>25</v>
      </c>
      <c r="F25" s="5" t="s">
        <v>10</v>
      </c>
      <c r="G25" s="5" t="s">
        <v>13</v>
      </c>
    </row>
    <row r="26" spans="1:7" x14ac:dyDescent="0.3">
      <c r="A26" s="4">
        <v>45894</v>
      </c>
      <c r="B26" s="5">
        <v>2</v>
      </c>
      <c r="C26" s="5">
        <v>4600</v>
      </c>
      <c r="D26" s="5">
        <v>0</v>
      </c>
      <c r="E26" s="5">
        <v>5</v>
      </c>
      <c r="F26" s="5" t="s">
        <v>9</v>
      </c>
      <c r="G26" s="5" t="s">
        <v>61</v>
      </c>
    </row>
    <row r="27" spans="1:7" x14ac:dyDescent="0.3">
      <c r="A27" s="4">
        <v>45895</v>
      </c>
      <c r="B27" s="5">
        <v>3</v>
      </c>
      <c r="C27" s="5">
        <v>2300</v>
      </c>
      <c r="D27" s="5">
        <v>0</v>
      </c>
      <c r="E27" s="5">
        <v>6</v>
      </c>
      <c r="F27" s="5" t="s">
        <v>9</v>
      </c>
      <c r="G27" s="5" t="s">
        <v>61</v>
      </c>
    </row>
    <row r="28" spans="1:7" x14ac:dyDescent="0.3">
      <c r="A28" s="4">
        <v>45896</v>
      </c>
      <c r="B28" s="5">
        <v>3</v>
      </c>
      <c r="C28" s="5">
        <v>2300</v>
      </c>
      <c r="D28" s="5">
        <v>0</v>
      </c>
      <c r="E28" s="5">
        <v>6</v>
      </c>
      <c r="F28" s="5" t="s">
        <v>9</v>
      </c>
      <c r="G28" s="5" t="s">
        <v>61</v>
      </c>
    </row>
    <row r="29" spans="1:7" x14ac:dyDescent="0.3">
      <c r="A29" s="4">
        <v>45897</v>
      </c>
      <c r="B29" s="5">
        <v>8</v>
      </c>
      <c r="C29" s="5">
        <v>13700</v>
      </c>
      <c r="D29" s="5">
        <v>2</v>
      </c>
      <c r="E29" s="5">
        <v>18</v>
      </c>
      <c r="F29" s="5" t="s">
        <v>7</v>
      </c>
      <c r="G29" s="5" t="s">
        <v>8</v>
      </c>
    </row>
    <row r="30" spans="1:7" x14ac:dyDescent="0.3">
      <c r="A30" s="4">
        <v>45898</v>
      </c>
      <c r="B30" s="5">
        <v>7</v>
      </c>
      <c r="C30" s="5">
        <v>12000</v>
      </c>
      <c r="D30" s="5">
        <v>1</v>
      </c>
      <c r="E30" s="5">
        <v>16</v>
      </c>
      <c r="F30" s="5" t="s">
        <v>7</v>
      </c>
      <c r="G30" s="5" t="s">
        <v>8</v>
      </c>
    </row>
    <row r="31" spans="1:7" x14ac:dyDescent="0.3">
      <c r="A31" s="4">
        <v>45899</v>
      </c>
      <c r="B31" s="5">
        <v>9</v>
      </c>
      <c r="C31" s="5">
        <v>14299</v>
      </c>
      <c r="D31" s="5">
        <v>1</v>
      </c>
      <c r="E31" s="5">
        <v>20</v>
      </c>
      <c r="F31" s="5" t="s">
        <v>10</v>
      </c>
      <c r="G31" s="5" t="s">
        <v>17</v>
      </c>
    </row>
    <row r="32" spans="1:7" x14ac:dyDescent="0.3">
      <c r="A32" s="4">
        <v>45900</v>
      </c>
      <c r="B32" s="5">
        <v>3</v>
      </c>
      <c r="C32" s="5">
        <v>2300</v>
      </c>
      <c r="D32" s="5">
        <v>0</v>
      </c>
      <c r="E32" s="5">
        <v>6</v>
      </c>
      <c r="F32" s="5" t="s">
        <v>9</v>
      </c>
      <c r="G32" s="5" t="s">
        <v>62</v>
      </c>
    </row>
    <row r="34" spans="1:5" x14ac:dyDescent="0.3">
      <c r="A34" s="13" t="s">
        <v>83</v>
      </c>
      <c r="B34" s="3">
        <f>AVERAGE(B2:B32)</f>
        <v>7.193548387096774</v>
      </c>
      <c r="C34" s="3">
        <f t="shared" ref="C34:E34" si="0">AVERAGE(C2:C32)</f>
        <v>15646.41935483871</v>
      </c>
      <c r="D34" s="3">
        <f t="shared" si="0"/>
        <v>1.4193548387096775</v>
      </c>
      <c r="E34" s="3">
        <f t="shared" si="0"/>
        <v>17.129032258064516</v>
      </c>
    </row>
    <row r="35" spans="1:5" x14ac:dyDescent="0.3">
      <c r="A35" s="13" t="s">
        <v>89</v>
      </c>
      <c r="B35" s="3">
        <f>_xlfn.STDEV.P(B2:B32)</f>
        <v>4.6449372705838226</v>
      </c>
      <c r="C35" s="3">
        <f t="shared" ref="C35:E35" si="1">_xlfn.STDEV.P(C2:C32)</f>
        <v>12380.081173255674</v>
      </c>
      <c r="D35" s="3">
        <f t="shared" si="1"/>
        <v>1.4761369275674259</v>
      </c>
      <c r="E35" s="3">
        <f t="shared" si="1"/>
        <v>11.324372618052967</v>
      </c>
    </row>
    <row r="36" spans="1:5" x14ac:dyDescent="0.3">
      <c r="A36" s="13" t="s">
        <v>93</v>
      </c>
      <c r="B36" s="3">
        <f>SUM(B2:B32)</f>
        <v>223</v>
      </c>
      <c r="C36" s="3">
        <f>SUM(C2:C32)</f>
        <v>485039</v>
      </c>
      <c r="D36" s="3">
        <f>SUM(D2:D32)</f>
        <v>44</v>
      </c>
      <c r="E36" s="3">
        <f t="shared" ref="E36" si="2">SUM(E2:E32)</f>
        <v>531</v>
      </c>
    </row>
    <row r="37" spans="1:5" x14ac:dyDescent="0.3">
      <c r="A37" s="13" t="s">
        <v>100</v>
      </c>
      <c r="D37" s="27">
        <f>D36+E36</f>
        <v>575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7605-4E64-4A06-8C8D-2CC67DB44815}">
  <dimension ref="A1:G36"/>
  <sheetViews>
    <sheetView zoomScale="63" workbookViewId="0">
      <selection activeCell="A36" sqref="A36"/>
    </sheetView>
  </sheetViews>
  <sheetFormatPr defaultRowHeight="14.4" x14ac:dyDescent="0.3"/>
  <cols>
    <col min="1" max="1" width="24.21875" style="3" bestFit="1" customWidth="1"/>
    <col min="2" max="2" width="16.33203125" style="3" bestFit="1" customWidth="1"/>
    <col min="3" max="3" width="17.44140625" style="3" bestFit="1" customWidth="1"/>
    <col min="4" max="4" width="16.33203125" style="3" bestFit="1" customWidth="1"/>
    <col min="5" max="5" width="17.77734375" style="3" bestFit="1" customWidth="1"/>
    <col min="6" max="6" width="10.33203125" style="3" bestFit="1" customWidth="1"/>
    <col min="7" max="7" width="17.2187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45901</v>
      </c>
      <c r="B2" s="5">
        <v>11</v>
      </c>
      <c r="C2" s="5">
        <v>17500</v>
      </c>
      <c r="D2" s="5">
        <v>1</v>
      </c>
      <c r="E2" s="5">
        <v>18</v>
      </c>
      <c r="F2" s="5" t="s">
        <v>7</v>
      </c>
      <c r="G2" s="5"/>
    </row>
    <row r="3" spans="1:7" x14ac:dyDescent="0.3">
      <c r="A3" s="4">
        <v>45902</v>
      </c>
      <c r="B3" s="5">
        <v>9</v>
      </c>
      <c r="C3" s="5">
        <v>42570</v>
      </c>
      <c r="D3" s="5">
        <v>3</v>
      </c>
      <c r="E3" s="5">
        <v>25</v>
      </c>
      <c r="F3" s="5" t="s">
        <v>10</v>
      </c>
      <c r="G3" s="5" t="s">
        <v>63</v>
      </c>
    </row>
    <row r="4" spans="1:7" x14ac:dyDescent="0.3">
      <c r="A4" s="4">
        <v>45903</v>
      </c>
      <c r="B4" s="5">
        <v>5</v>
      </c>
      <c r="C4" s="5">
        <v>27152</v>
      </c>
      <c r="D4" s="5">
        <v>2</v>
      </c>
      <c r="E4" s="5">
        <v>15</v>
      </c>
      <c r="F4" s="5" t="s">
        <v>7</v>
      </c>
      <c r="G4" s="5"/>
    </row>
    <row r="5" spans="1:7" x14ac:dyDescent="0.3">
      <c r="A5" s="4">
        <v>45904</v>
      </c>
      <c r="B5" s="5">
        <v>6</v>
      </c>
      <c r="C5" s="5">
        <v>10100</v>
      </c>
      <c r="D5" s="5">
        <v>1</v>
      </c>
      <c r="E5" s="5">
        <v>12</v>
      </c>
      <c r="F5" s="5" t="s">
        <v>7</v>
      </c>
      <c r="G5" s="5"/>
    </row>
    <row r="6" spans="1:7" x14ac:dyDescent="0.3">
      <c r="A6" s="4">
        <v>45905</v>
      </c>
      <c r="B6" s="5">
        <v>7</v>
      </c>
      <c r="C6" s="5">
        <v>12300</v>
      </c>
      <c r="D6" s="5">
        <v>1</v>
      </c>
      <c r="E6" s="5">
        <v>14</v>
      </c>
      <c r="F6" s="5" t="s">
        <v>7</v>
      </c>
      <c r="G6" s="5" t="s">
        <v>8</v>
      </c>
    </row>
    <row r="7" spans="1:7" x14ac:dyDescent="0.3">
      <c r="A7" s="4">
        <v>45906</v>
      </c>
      <c r="B7" s="5">
        <v>6</v>
      </c>
      <c r="C7" s="5">
        <v>8900</v>
      </c>
      <c r="D7" s="5">
        <v>0</v>
      </c>
      <c r="E7" s="5">
        <v>10</v>
      </c>
      <c r="F7" s="5" t="s">
        <v>10</v>
      </c>
      <c r="G7" s="5" t="s">
        <v>13</v>
      </c>
    </row>
    <row r="8" spans="1:7" x14ac:dyDescent="0.3">
      <c r="A8" s="4">
        <v>45907</v>
      </c>
      <c r="B8" s="5">
        <v>5</v>
      </c>
      <c r="C8" s="5">
        <v>11800</v>
      </c>
      <c r="D8" s="5">
        <v>1</v>
      </c>
      <c r="E8" s="5">
        <v>12</v>
      </c>
      <c r="F8" s="5" t="s">
        <v>7</v>
      </c>
      <c r="G8" s="5" t="s">
        <v>8</v>
      </c>
    </row>
    <row r="9" spans="1:7" x14ac:dyDescent="0.3">
      <c r="A9" s="4">
        <v>45908</v>
      </c>
      <c r="B9" s="5">
        <v>15</v>
      </c>
      <c r="C9" s="5">
        <v>11500</v>
      </c>
      <c r="D9" s="5">
        <v>2</v>
      </c>
      <c r="E9" s="5">
        <v>22</v>
      </c>
      <c r="F9" s="5" t="s">
        <v>10</v>
      </c>
      <c r="G9" s="5"/>
    </row>
    <row r="10" spans="1:7" x14ac:dyDescent="0.3">
      <c r="A10" s="4">
        <v>45909</v>
      </c>
      <c r="B10" s="5">
        <v>12</v>
      </c>
      <c r="C10" s="5">
        <v>8520</v>
      </c>
      <c r="D10" s="5">
        <v>1</v>
      </c>
      <c r="E10" s="5">
        <v>18</v>
      </c>
      <c r="F10" s="5" t="s">
        <v>7</v>
      </c>
      <c r="G10" s="5" t="s">
        <v>64</v>
      </c>
    </row>
    <row r="11" spans="1:7" x14ac:dyDescent="0.3">
      <c r="A11" s="4">
        <v>45910</v>
      </c>
      <c r="B11" s="5">
        <v>13</v>
      </c>
      <c r="C11" s="5">
        <v>6500</v>
      </c>
      <c r="D11" s="5">
        <v>0</v>
      </c>
      <c r="E11" s="5">
        <v>16</v>
      </c>
      <c r="F11" s="5" t="s">
        <v>7</v>
      </c>
      <c r="G11" s="5" t="s">
        <v>65</v>
      </c>
    </row>
    <row r="12" spans="1:7" x14ac:dyDescent="0.3">
      <c r="A12" s="4">
        <v>45911</v>
      </c>
      <c r="B12" s="5">
        <v>15</v>
      </c>
      <c r="C12" s="5">
        <v>19400</v>
      </c>
      <c r="D12" s="5">
        <v>2</v>
      </c>
      <c r="E12" s="5">
        <v>22</v>
      </c>
      <c r="F12" s="5" t="s">
        <v>10</v>
      </c>
      <c r="G12" s="5"/>
    </row>
    <row r="13" spans="1:7" x14ac:dyDescent="0.3">
      <c r="A13" s="4">
        <v>45912</v>
      </c>
      <c r="B13" s="5">
        <v>14</v>
      </c>
      <c r="C13" s="5">
        <v>5200</v>
      </c>
      <c r="D13" s="5">
        <v>0</v>
      </c>
      <c r="E13" s="5">
        <v>14</v>
      </c>
      <c r="F13" s="5" t="s">
        <v>7</v>
      </c>
      <c r="G13" s="5" t="s">
        <v>66</v>
      </c>
    </row>
    <row r="14" spans="1:7" x14ac:dyDescent="0.3">
      <c r="A14" s="4">
        <v>45913</v>
      </c>
      <c r="B14" s="5">
        <v>11</v>
      </c>
      <c r="C14" s="5">
        <v>4100</v>
      </c>
      <c r="D14" s="5">
        <v>0</v>
      </c>
      <c r="E14" s="5">
        <v>12</v>
      </c>
      <c r="F14" s="5" t="s">
        <v>7</v>
      </c>
      <c r="G14" s="5" t="s">
        <v>67</v>
      </c>
    </row>
    <row r="15" spans="1:7" x14ac:dyDescent="0.3">
      <c r="A15" s="4">
        <v>45914</v>
      </c>
      <c r="B15" s="5">
        <v>8</v>
      </c>
      <c r="C15" s="5">
        <v>2600</v>
      </c>
      <c r="D15" s="5">
        <v>0</v>
      </c>
      <c r="E15" s="5">
        <v>10</v>
      </c>
      <c r="F15" s="5" t="s">
        <v>7</v>
      </c>
      <c r="G15" s="5" t="s">
        <v>58</v>
      </c>
    </row>
    <row r="16" spans="1:7" x14ac:dyDescent="0.3">
      <c r="A16" s="4">
        <v>45915</v>
      </c>
      <c r="B16" s="5">
        <v>7</v>
      </c>
      <c r="C16" s="5">
        <v>4900</v>
      </c>
      <c r="D16" s="5">
        <v>0</v>
      </c>
      <c r="E16" s="5">
        <v>11</v>
      </c>
      <c r="F16" s="5" t="s">
        <v>7</v>
      </c>
      <c r="G16" s="5" t="s">
        <v>68</v>
      </c>
    </row>
    <row r="17" spans="1:7" x14ac:dyDescent="0.3">
      <c r="A17" s="4">
        <v>45916</v>
      </c>
      <c r="B17" s="5">
        <v>8</v>
      </c>
      <c r="C17" s="5">
        <v>11800</v>
      </c>
      <c r="D17" s="5">
        <v>1</v>
      </c>
      <c r="E17" s="5">
        <v>14</v>
      </c>
      <c r="F17" s="5" t="s">
        <v>10</v>
      </c>
      <c r="G17" s="5" t="s">
        <v>13</v>
      </c>
    </row>
    <row r="18" spans="1:7" x14ac:dyDescent="0.3">
      <c r="A18" s="4">
        <v>45917</v>
      </c>
      <c r="B18" s="5">
        <v>9</v>
      </c>
      <c r="C18" s="5">
        <v>34400</v>
      </c>
      <c r="D18" s="5">
        <v>3</v>
      </c>
      <c r="E18" s="5">
        <v>24</v>
      </c>
      <c r="F18" s="5" t="s">
        <v>10</v>
      </c>
      <c r="G18" s="5"/>
    </row>
    <row r="19" spans="1:7" x14ac:dyDescent="0.3">
      <c r="A19" s="4">
        <v>45918</v>
      </c>
      <c r="B19" s="5">
        <v>7</v>
      </c>
      <c r="C19" s="5">
        <v>11840</v>
      </c>
      <c r="D19" s="5">
        <v>1</v>
      </c>
      <c r="E19" s="5">
        <v>14</v>
      </c>
      <c r="F19" s="5" t="s">
        <v>7</v>
      </c>
      <c r="G19" s="5" t="s">
        <v>8</v>
      </c>
    </row>
    <row r="20" spans="1:7" x14ac:dyDescent="0.3">
      <c r="A20" s="4">
        <v>45919</v>
      </c>
      <c r="B20" s="5">
        <v>3</v>
      </c>
      <c r="C20" s="5">
        <v>4000</v>
      </c>
      <c r="D20" s="5">
        <v>0</v>
      </c>
      <c r="E20" s="5">
        <v>6</v>
      </c>
      <c r="F20" s="5" t="s">
        <v>9</v>
      </c>
      <c r="G20" s="5" t="s">
        <v>61</v>
      </c>
    </row>
    <row r="21" spans="1:7" x14ac:dyDescent="0.3">
      <c r="A21" s="4">
        <v>45920</v>
      </c>
      <c r="B21" s="5">
        <v>3</v>
      </c>
      <c r="C21" s="5">
        <v>9400</v>
      </c>
      <c r="D21" s="5">
        <v>1</v>
      </c>
      <c r="E21" s="5">
        <v>8</v>
      </c>
      <c r="F21" s="5" t="s">
        <v>7</v>
      </c>
      <c r="G21" s="5" t="s">
        <v>8</v>
      </c>
    </row>
    <row r="22" spans="1:7" x14ac:dyDescent="0.3">
      <c r="A22" s="4">
        <v>45921</v>
      </c>
      <c r="B22" s="5">
        <v>2</v>
      </c>
      <c r="C22" s="5">
        <v>4300</v>
      </c>
      <c r="D22" s="5">
        <v>0</v>
      </c>
      <c r="E22" s="5">
        <v>5</v>
      </c>
      <c r="F22" s="5" t="s">
        <v>9</v>
      </c>
      <c r="G22" s="5" t="s">
        <v>61</v>
      </c>
    </row>
    <row r="23" spans="1:7" x14ac:dyDescent="0.3">
      <c r="A23" s="4">
        <v>45922</v>
      </c>
      <c r="B23" s="5">
        <v>7</v>
      </c>
      <c r="C23" s="5">
        <v>18770</v>
      </c>
      <c r="D23" s="5">
        <v>2</v>
      </c>
      <c r="E23" s="5">
        <v>18</v>
      </c>
      <c r="F23" s="5" t="s">
        <v>7</v>
      </c>
      <c r="G23" s="5" t="s">
        <v>8</v>
      </c>
    </row>
    <row r="24" spans="1:7" x14ac:dyDescent="0.3">
      <c r="A24" s="4">
        <v>45923</v>
      </c>
      <c r="B24" s="5">
        <v>8</v>
      </c>
      <c r="C24" s="5">
        <v>16427</v>
      </c>
      <c r="D24" s="5">
        <v>1</v>
      </c>
      <c r="E24" s="5">
        <v>16</v>
      </c>
      <c r="F24" s="5" t="s">
        <v>7</v>
      </c>
      <c r="G24" s="5"/>
    </row>
    <row r="25" spans="1:7" x14ac:dyDescent="0.3">
      <c r="A25" s="4">
        <v>45924</v>
      </c>
      <c r="B25" s="5">
        <v>1</v>
      </c>
      <c r="C25" s="5">
        <v>2456</v>
      </c>
      <c r="D25" s="5">
        <v>0</v>
      </c>
      <c r="E25" s="5">
        <v>4</v>
      </c>
      <c r="F25" s="5" t="s">
        <v>9</v>
      </c>
      <c r="G25" s="5"/>
    </row>
    <row r="26" spans="1:7" x14ac:dyDescent="0.3">
      <c r="A26" s="4">
        <v>45925</v>
      </c>
      <c r="B26" s="5">
        <v>1</v>
      </c>
      <c r="C26" s="5">
        <v>6970</v>
      </c>
      <c r="D26" s="5">
        <v>0</v>
      </c>
      <c r="E26" s="5">
        <v>4</v>
      </c>
      <c r="F26" s="5" t="s">
        <v>9</v>
      </c>
      <c r="G26" s="5"/>
    </row>
    <row r="27" spans="1:7" x14ac:dyDescent="0.3">
      <c r="A27" s="4">
        <v>45926</v>
      </c>
      <c r="B27" s="5">
        <v>4</v>
      </c>
      <c r="C27" s="5">
        <v>7700</v>
      </c>
      <c r="D27" s="5">
        <v>1</v>
      </c>
      <c r="E27" s="5">
        <v>9</v>
      </c>
      <c r="F27" s="5" t="s">
        <v>7</v>
      </c>
      <c r="G27" s="5"/>
    </row>
    <row r="28" spans="1:7" x14ac:dyDescent="0.3">
      <c r="A28" s="4">
        <v>45927</v>
      </c>
      <c r="B28" s="5">
        <v>5</v>
      </c>
      <c r="C28" s="5">
        <v>9400</v>
      </c>
      <c r="D28" s="5">
        <v>1</v>
      </c>
      <c r="E28" s="5">
        <v>11</v>
      </c>
      <c r="F28" s="5" t="s">
        <v>7</v>
      </c>
      <c r="G28" s="5"/>
    </row>
    <row r="29" spans="1:7" x14ac:dyDescent="0.3">
      <c r="A29" s="4">
        <v>45928</v>
      </c>
      <c r="B29" s="5">
        <v>1</v>
      </c>
      <c r="C29" s="5">
        <v>2200</v>
      </c>
      <c r="D29" s="5">
        <v>0</v>
      </c>
      <c r="E29" s="5">
        <v>3</v>
      </c>
      <c r="F29" s="5" t="s">
        <v>9</v>
      </c>
      <c r="G29" s="5" t="s">
        <v>61</v>
      </c>
    </row>
    <row r="30" spans="1:7" x14ac:dyDescent="0.3">
      <c r="A30" s="4">
        <v>45929</v>
      </c>
      <c r="B30" s="5">
        <v>7</v>
      </c>
      <c r="C30" s="5">
        <v>18700</v>
      </c>
      <c r="D30" s="5">
        <v>1</v>
      </c>
      <c r="E30" s="5">
        <v>16</v>
      </c>
      <c r="F30" s="5" t="s">
        <v>7</v>
      </c>
      <c r="G30" s="5" t="s">
        <v>8</v>
      </c>
    </row>
    <row r="31" spans="1:7" x14ac:dyDescent="0.3">
      <c r="A31" s="4">
        <v>45930</v>
      </c>
      <c r="B31" s="5">
        <v>6</v>
      </c>
      <c r="C31" s="5">
        <v>10927</v>
      </c>
      <c r="D31" s="5">
        <v>1</v>
      </c>
      <c r="E31" s="5">
        <v>13</v>
      </c>
      <c r="F31" s="5" t="s">
        <v>7</v>
      </c>
      <c r="G31" s="5"/>
    </row>
    <row r="33" spans="1:5" x14ac:dyDescent="0.3">
      <c r="A33" s="13" t="s">
        <v>83</v>
      </c>
      <c r="B33" s="3">
        <f>AVERAGE(B2:B31)</f>
        <v>7.2</v>
      </c>
      <c r="C33" s="3">
        <f t="shared" ref="C33:E33" si="0">AVERAGE(C2:C31)</f>
        <v>12077.733333333334</v>
      </c>
      <c r="D33" s="3">
        <f t="shared" si="0"/>
        <v>0.9</v>
      </c>
      <c r="E33" s="3">
        <f t="shared" si="0"/>
        <v>13.2</v>
      </c>
    </row>
    <row r="34" spans="1:5" x14ac:dyDescent="0.3">
      <c r="A34" s="13" t="s">
        <v>89</v>
      </c>
      <c r="B34" s="3">
        <f>_xlfn.STDEV.P(B2:B31)</f>
        <v>3.9530578880996248</v>
      </c>
      <c r="C34" s="3">
        <f t="shared" ref="C34:E34" si="1">_xlfn.STDEV.P(C2:C31)</f>
        <v>9189.3854053951236</v>
      </c>
      <c r="D34" s="3">
        <f t="shared" si="1"/>
        <v>0.86986589004665926</v>
      </c>
      <c r="E34" s="3">
        <f t="shared" si="1"/>
        <v>5.717808437971085</v>
      </c>
    </row>
    <row r="35" spans="1:5" x14ac:dyDescent="0.3">
      <c r="A35" s="13" t="s">
        <v>93</v>
      </c>
      <c r="B35" s="3">
        <f>SUM(B2:B31)</f>
        <v>216</v>
      </c>
      <c r="C35" s="3">
        <f>SUM(C2:C31)</f>
        <v>362332</v>
      </c>
      <c r="D35" s="3">
        <f t="shared" ref="D35:E35" si="2">SUM(D2:D31)</f>
        <v>27</v>
      </c>
      <c r="E35" s="3">
        <f t="shared" si="2"/>
        <v>396</v>
      </c>
    </row>
    <row r="36" spans="1:5" x14ac:dyDescent="0.3">
      <c r="A36" s="13" t="s">
        <v>100</v>
      </c>
      <c r="D36" s="27">
        <f>D35+E35</f>
        <v>423</v>
      </c>
      <c r="E36" s="27"/>
    </row>
  </sheetData>
  <mergeCells count="1">
    <mergeCell ref="D36:E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6F6B-EFCB-49D8-BA99-E9083ED3E36F}">
  <dimension ref="A1:G37"/>
  <sheetViews>
    <sheetView topLeftCell="A14" zoomScale="71" workbookViewId="0">
      <selection activeCell="A37" sqref="A37"/>
    </sheetView>
  </sheetViews>
  <sheetFormatPr defaultRowHeight="14.4" x14ac:dyDescent="0.3"/>
  <cols>
    <col min="1" max="1" width="22.6640625" style="3" bestFit="1" customWidth="1"/>
    <col min="2" max="2" width="15.77734375" style="3" bestFit="1" customWidth="1"/>
    <col min="3" max="3" width="16.6640625" style="3" bestFit="1" customWidth="1"/>
    <col min="4" max="4" width="15.88671875" style="3" bestFit="1" customWidth="1"/>
    <col min="5" max="5" width="17.33203125" style="3" bestFit="1" customWidth="1"/>
    <col min="6" max="6" width="9.77734375" style="3" bestFit="1" customWidth="1"/>
    <col min="7" max="7" width="17.2187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45931</v>
      </c>
      <c r="B2" s="5">
        <v>5</v>
      </c>
      <c r="C2" s="5">
        <v>8500</v>
      </c>
      <c r="D2" s="5">
        <v>0</v>
      </c>
      <c r="E2" s="5">
        <v>8</v>
      </c>
      <c r="F2" s="5" t="s">
        <v>7</v>
      </c>
      <c r="G2" s="5" t="s">
        <v>69</v>
      </c>
    </row>
    <row r="3" spans="1:7" x14ac:dyDescent="0.3">
      <c r="A3" s="4">
        <v>45932</v>
      </c>
      <c r="B3" s="5">
        <v>18</v>
      </c>
      <c r="C3" s="5">
        <v>30900</v>
      </c>
      <c r="D3" s="5">
        <v>4</v>
      </c>
      <c r="E3" s="5">
        <v>30</v>
      </c>
      <c r="F3" s="5" t="s">
        <v>10</v>
      </c>
      <c r="G3" s="5"/>
    </row>
    <row r="4" spans="1:7" x14ac:dyDescent="0.3">
      <c r="A4" s="4">
        <v>45933</v>
      </c>
      <c r="B4" s="5">
        <v>22</v>
      </c>
      <c r="C4" s="5">
        <v>19200</v>
      </c>
      <c r="D4" s="5">
        <v>3</v>
      </c>
      <c r="E4" s="5">
        <v>35</v>
      </c>
      <c r="F4" s="5" t="s">
        <v>10</v>
      </c>
      <c r="G4" s="5"/>
    </row>
    <row r="5" spans="1:7" x14ac:dyDescent="0.3">
      <c r="A5" s="4">
        <v>45934</v>
      </c>
      <c r="B5" s="5">
        <v>11</v>
      </c>
      <c r="C5" s="5">
        <v>25300</v>
      </c>
      <c r="D5" s="5">
        <v>2</v>
      </c>
      <c r="E5" s="5">
        <v>22</v>
      </c>
      <c r="F5" s="5" t="s">
        <v>10</v>
      </c>
      <c r="G5" s="5"/>
    </row>
    <row r="6" spans="1:7" x14ac:dyDescent="0.3">
      <c r="A6" s="4">
        <v>45935</v>
      </c>
      <c r="B6" s="5">
        <v>4</v>
      </c>
      <c r="C6" s="5">
        <v>14040</v>
      </c>
      <c r="D6" s="5">
        <v>1</v>
      </c>
      <c r="E6" s="5">
        <v>10</v>
      </c>
      <c r="F6" s="5" t="s">
        <v>7</v>
      </c>
      <c r="G6" s="5"/>
    </row>
    <row r="7" spans="1:7" x14ac:dyDescent="0.3">
      <c r="A7" s="4">
        <v>45936</v>
      </c>
      <c r="B7" s="5">
        <v>6</v>
      </c>
      <c r="C7" s="5">
        <v>8900</v>
      </c>
      <c r="D7" s="5">
        <v>0</v>
      </c>
      <c r="E7" s="5">
        <v>9</v>
      </c>
      <c r="F7" s="5" t="s">
        <v>7</v>
      </c>
      <c r="G7" s="5" t="s">
        <v>8</v>
      </c>
    </row>
    <row r="8" spans="1:7" x14ac:dyDescent="0.3">
      <c r="A8" s="4">
        <v>45937</v>
      </c>
      <c r="B8" s="5">
        <v>10</v>
      </c>
      <c r="C8" s="5">
        <v>16527</v>
      </c>
      <c r="D8" s="5">
        <v>1</v>
      </c>
      <c r="E8" s="5">
        <v>18</v>
      </c>
      <c r="F8" s="5" t="s">
        <v>7</v>
      </c>
      <c r="G8" s="5"/>
    </row>
    <row r="9" spans="1:7" x14ac:dyDescent="0.3">
      <c r="A9" s="4">
        <v>45938</v>
      </c>
      <c r="B9" s="5">
        <v>10</v>
      </c>
      <c r="C9" s="5">
        <v>23307</v>
      </c>
      <c r="D9" s="5">
        <v>2</v>
      </c>
      <c r="E9" s="5">
        <v>20</v>
      </c>
      <c r="F9" s="5" t="s">
        <v>10</v>
      </c>
      <c r="G9" s="5" t="s">
        <v>70</v>
      </c>
    </row>
    <row r="10" spans="1:7" x14ac:dyDescent="0.3">
      <c r="A10" s="4">
        <v>45939</v>
      </c>
      <c r="B10" s="5">
        <v>6</v>
      </c>
      <c r="C10" s="5">
        <v>3800</v>
      </c>
      <c r="D10" s="5">
        <v>0</v>
      </c>
      <c r="E10" s="5">
        <v>8</v>
      </c>
      <c r="F10" s="5" t="s">
        <v>7</v>
      </c>
      <c r="G10" s="5" t="s">
        <v>61</v>
      </c>
    </row>
    <row r="11" spans="1:7" x14ac:dyDescent="0.3">
      <c r="A11" s="4">
        <v>45940</v>
      </c>
      <c r="B11" s="5">
        <v>3</v>
      </c>
      <c r="C11" s="5">
        <v>7694</v>
      </c>
      <c r="D11" s="5">
        <v>0</v>
      </c>
      <c r="E11" s="5">
        <v>6</v>
      </c>
      <c r="F11" s="5" t="s">
        <v>7</v>
      </c>
      <c r="G11" s="5" t="s">
        <v>71</v>
      </c>
    </row>
    <row r="12" spans="1:7" x14ac:dyDescent="0.3">
      <c r="A12" s="4">
        <v>45941</v>
      </c>
      <c r="B12" s="5">
        <v>19</v>
      </c>
      <c r="C12" s="5">
        <v>38200</v>
      </c>
      <c r="D12" s="5">
        <v>4</v>
      </c>
      <c r="E12" s="5">
        <v>32</v>
      </c>
      <c r="F12" s="5" t="s">
        <v>10</v>
      </c>
      <c r="G12" s="5"/>
    </row>
    <row r="13" spans="1:7" x14ac:dyDescent="0.3">
      <c r="A13" s="4">
        <v>45942</v>
      </c>
      <c r="B13" s="5">
        <v>3</v>
      </c>
      <c r="C13" s="5">
        <v>2200</v>
      </c>
      <c r="D13" s="5">
        <v>0</v>
      </c>
      <c r="E13" s="5">
        <v>5</v>
      </c>
      <c r="F13" s="5" t="s">
        <v>9</v>
      </c>
      <c r="G13" s="5" t="s">
        <v>67</v>
      </c>
    </row>
    <row r="14" spans="1:7" x14ac:dyDescent="0.3">
      <c r="A14" s="4">
        <v>45943</v>
      </c>
      <c r="B14" s="5">
        <v>6</v>
      </c>
      <c r="C14" s="5">
        <v>2600</v>
      </c>
      <c r="D14" s="5">
        <v>0</v>
      </c>
      <c r="E14" s="5">
        <v>6</v>
      </c>
      <c r="F14" s="5" t="s">
        <v>9</v>
      </c>
      <c r="G14" s="5"/>
    </row>
    <row r="15" spans="1:7" x14ac:dyDescent="0.3">
      <c r="A15" s="4">
        <v>45944</v>
      </c>
      <c r="B15" s="5">
        <v>4</v>
      </c>
      <c r="C15" s="5">
        <v>6900</v>
      </c>
      <c r="D15" s="5">
        <v>0</v>
      </c>
      <c r="E15" s="5">
        <v>7</v>
      </c>
      <c r="F15" s="5" t="s">
        <v>7</v>
      </c>
      <c r="G15" s="5" t="s">
        <v>69</v>
      </c>
    </row>
    <row r="16" spans="1:7" x14ac:dyDescent="0.3">
      <c r="A16" s="4">
        <v>45945</v>
      </c>
      <c r="B16" s="5">
        <v>8</v>
      </c>
      <c r="C16" s="5">
        <v>44385</v>
      </c>
      <c r="D16" s="5">
        <v>3</v>
      </c>
      <c r="E16" s="5">
        <v>28</v>
      </c>
      <c r="F16" s="5" t="s">
        <v>10</v>
      </c>
      <c r="G16" s="5"/>
    </row>
    <row r="17" spans="1:7" x14ac:dyDescent="0.3">
      <c r="A17" s="4">
        <v>45946</v>
      </c>
      <c r="B17" s="5">
        <v>9</v>
      </c>
      <c r="C17" s="5">
        <v>13970</v>
      </c>
      <c r="D17" s="5">
        <v>1</v>
      </c>
      <c r="E17" s="5">
        <v>16</v>
      </c>
      <c r="F17" s="5" t="s">
        <v>7</v>
      </c>
      <c r="G17" s="5" t="s">
        <v>8</v>
      </c>
    </row>
    <row r="18" spans="1:7" x14ac:dyDescent="0.3">
      <c r="A18" s="4">
        <v>45947</v>
      </c>
      <c r="B18" s="5">
        <v>6</v>
      </c>
      <c r="C18" s="5">
        <v>14000</v>
      </c>
      <c r="D18" s="5">
        <v>1</v>
      </c>
      <c r="E18" s="5">
        <v>15</v>
      </c>
      <c r="F18" s="5" t="s">
        <v>7</v>
      </c>
      <c r="G18" s="5" t="s">
        <v>8</v>
      </c>
    </row>
    <row r="19" spans="1:7" x14ac:dyDescent="0.3">
      <c r="A19" s="4">
        <v>45948</v>
      </c>
      <c r="B19" s="5">
        <v>11</v>
      </c>
      <c r="C19" s="5">
        <v>22000</v>
      </c>
      <c r="D19" s="5">
        <v>2</v>
      </c>
      <c r="E19" s="5">
        <v>21</v>
      </c>
      <c r="F19" s="5" t="s">
        <v>10</v>
      </c>
      <c r="G19" s="5" t="s">
        <v>8</v>
      </c>
    </row>
    <row r="20" spans="1:7" x14ac:dyDescent="0.3">
      <c r="A20" s="4">
        <v>45949</v>
      </c>
      <c r="B20" s="5">
        <v>2</v>
      </c>
      <c r="C20" s="5">
        <v>21216</v>
      </c>
      <c r="D20" s="5">
        <v>2</v>
      </c>
      <c r="E20" s="5">
        <v>12</v>
      </c>
      <c r="F20" s="5" t="s">
        <v>7</v>
      </c>
      <c r="G20" s="5" t="s">
        <v>60</v>
      </c>
    </row>
    <row r="21" spans="1:7" x14ac:dyDescent="0.3">
      <c r="A21" s="4">
        <v>45950</v>
      </c>
      <c r="B21" s="5">
        <v>2</v>
      </c>
      <c r="C21" s="5">
        <v>0</v>
      </c>
      <c r="D21" s="5">
        <v>0</v>
      </c>
      <c r="E21" s="5">
        <v>4</v>
      </c>
      <c r="F21" s="5" t="s">
        <v>7</v>
      </c>
      <c r="G21" s="5" t="s">
        <v>72</v>
      </c>
    </row>
    <row r="22" spans="1:7" x14ac:dyDescent="0.3">
      <c r="A22" s="4">
        <v>45951</v>
      </c>
      <c r="B22" s="5">
        <v>4</v>
      </c>
      <c r="C22" s="5">
        <v>6400</v>
      </c>
      <c r="D22" s="5">
        <v>0</v>
      </c>
      <c r="E22" s="5">
        <v>9</v>
      </c>
      <c r="F22" s="5" t="s">
        <v>7</v>
      </c>
      <c r="G22" s="5"/>
    </row>
    <row r="23" spans="1:7" x14ac:dyDescent="0.3">
      <c r="A23" s="4">
        <v>45952</v>
      </c>
      <c r="B23" s="5">
        <v>9</v>
      </c>
      <c r="C23" s="5">
        <v>15778</v>
      </c>
      <c r="D23" s="5">
        <v>1</v>
      </c>
      <c r="E23" s="5">
        <v>18</v>
      </c>
      <c r="F23" s="5" t="s">
        <v>10</v>
      </c>
      <c r="G23" s="5" t="s">
        <v>13</v>
      </c>
    </row>
    <row r="24" spans="1:7" x14ac:dyDescent="0.3">
      <c r="A24" s="4">
        <v>45953</v>
      </c>
      <c r="B24" s="5">
        <v>4</v>
      </c>
      <c r="C24" s="5">
        <v>6700</v>
      </c>
      <c r="D24" s="5">
        <v>0</v>
      </c>
      <c r="E24" s="5">
        <v>9</v>
      </c>
      <c r="F24" s="5" t="s">
        <v>7</v>
      </c>
      <c r="G24" s="5" t="s">
        <v>8</v>
      </c>
    </row>
    <row r="25" spans="1:7" x14ac:dyDescent="0.3">
      <c r="A25" s="4">
        <v>45954</v>
      </c>
      <c r="B25" s="5">
        <v>3</v>
      </c>
      <c r="C25" s="5">
        <v>2300</v>
      </c>
      <c r="D25" s="5">
        <v>0</v>
      </c>
      <c r="E25" s="5">
        <v>6</v>
      </c>
      <c r="F25" s="5" t="s">
        <v>9</v>
      </c>
      <c r="G25" s="5" t="s">
        <v>61</v>
      </c>
    </row>
    <row r="26" spans="1:7" x14ac:dyDescent="0.3">
      <c r="A26" s="4">
        <v>45955</v>
      </c>
      <c r="B26" s="5">
        <v>3</v>
      </c>
      <c r="C26" s="5">
        <v>4600</v>
      </c>
      <c r="D26" s="5">
        <v>0</v>
      </c>
      <c r="E26" s="5">
        <v>7</v>
      </c>
      <c r="F26" s="5" t="s">
        <v>7</v>
      </c>
      <c r="G26" s="5" t="s">
        <v>69</v>
      </c>
    </row>
    <row r="27" spans="1:7" x14ac:dyDescent="0.3">
      <c r="A27" s="4">
        <v>45956</v>
      </c>
      <c r="B27" s="5">
        <v>6</v>
      </c>
      <c r="C27" s="5">
        <v>18900</v>
      </c>
      <c r="D27" s="5">
        <v>1</v>
      </c>
      <c r="E27" s="5">
        <v>14</v>
      </c>
      <c r="F27" s="5" t="s">
        <v>10</v>
      </c>
      <c r="G27" s="5" t="s">
        <v>8</v>
      </c>
    </row>
    <row r="28" spans="1:7" x14ac:dyDescent="0.3">
      <c r="A28" s="4">
        <v>45957</v>
      </c>
      <c r="B28" s="5">
        <v>5</v>
      </c>
      <c r="C28" s="5">
        <v>6927</v>
      </c>
      <c r="D28" s="5">
        <v>1</v>
      </c>
      <c r="E28" s="5">
        <v>11</v>
      </c>
      <c r="F28" s="5" t="s">
        <v>7</v>
      </c>
      <c r="G28" s="5"/>
    </row>
    <row r="29" spans="1:7" x14ac:dyDescent="0.3">
      <c r="A29" s="4">
        <v>45958</v>
      </c>
      <c r="B29" s="5">
        <v>11</v>
      </c>
      <c r="C29" s="5">
        <v>19400</v>
      </c>
      <c r="D29" s="5">
        <v>2</v>
      </c>
      <c r="E29" s="5">
        <v>20</v>
      </c>
      <c r="F29" s="5" t="s">
        <v>10</v>
      </c>
      <c r="G29" s="5" t="s">
        <v>73</v>
      </c>
    </row>
    <row r="30" spans="1:7" x14ac:dyDescent="0.3">
      <c r="A30" s="4">
        <v>45959</v>
      </c>
      <c r="B30" s="5">
        <v>24</v>
      </c>
      <c r="C30" s="5">
        <v>17800</v>
      </c>
      <c r="D30" s="5">
        <v>4</v>
      </c>
      <c r="E30" s="5">
        <v>40</v>
      </c>
      <c r="F30" s="5" t="s">
        <v>10</v>
      </c>
      <c r="G30" s="5"/>
    </row>
    <row r="31" spans="1:7" x14ac:dyDescent="0.3">
      <c r="A31" s="4">
        <v>45960</v>
      </c>
      <c r="B31" s="5">
        <v>3</v>
      </c>
      <c r="C31" s="5">
        <v>14000</v>
      </c>
      <c r="D31" s="5">
        <v>1</v>
      </c>
      <c r="E31" s="5">
        <v>8</v>
      </c>
      <c r="F31" s="5" t="s">
        <v>7</v>
      </c>
      <c r="G31" s="5" t="s">
        <v>8</v>
      </c>
    </row>
    <row r="32" spans="1:7" x14ac:dyDescent="0.3">
      <c r="A32" s="4">
        <v>45961</v>
      </c>
      <c r="B32" s="5">
        <v>13</v>
      </c>
      <c r="C32" s="5">
        <v>16200</v>
      </c>
      <c r="D32" s="5">
        <v>2</v>
      </c>
      <c r="E32" s="5">
        <v>22</v>
      </c>
      <c r="F32" s="5" t="s">
        <v>10</v>
      </c>
      <c r="G32" s="5"/>
    </row>
    <row r="34" spans="1:5" x14ac:dyDescent="0.3">
      <c r="A34" s="13" t="s">
        <v>83</v>
      </c>
      <c r="B34" s="3">
        <f>AVERAGE(B2:B32)</f>
        <v>8.064516129032258</v>
      </c>
      <c r="C34" s="3">
        <f t="shared" ref="C34:E34" si="0">AVERAGE(C2:C32)</f>
        <v>14601.41935483871</v>
      </c>
      <c r="D34" s="3">
        <f t="shared" si="0"/>
        <v>1.2258064516129032</v>
      </c>
      <c r="E34" s="3">
        <f t="shared" si="0"/>
        <v>15.35483870967742</v>
      </c>
    </row>
    <row r="35" spans="1:5" x14ac:dyDescent="0.3">
      <c r="A35" s="13" t="s">
        <v>89</v>
      </c>
      <c r="B35" s="3">
        <f>_xlfn.STDEV.P(B2:B32)</f>
        <v>5.7750044483768246</v>
      </c>
      <c r="C35" s="3">
        <f t="shared" ref="C35:E35" si="1">_xlfn.STDEV.P(C2:C32)</f>
        <v>10356.093337317809</v>
      </c>
      <c r="D35" s="3">
        <f t="shared" si="1"/>
        <v>1.2879009533985244</v>
      </c>
      <c r="E35" s="3">
        <f t="shared" si="1"/>
        <v>9.5124651229805259</v>
      </c>
    </row>
    <row r="36" spans="1:5" x14ac:dyDescent="0.3">
      <c r="A36" s="13" t="s">
        <v>93</v>
      </c>
      <c r="B36" s="3">
        <f>SUM(B2:B32)</f>
        <v>250</v>
      </c>
      <c r="C36" s="3">
        <f>SUM(C2:C32)</f>
        <v>452644</v>
      </c>
      <c r="D36" s="3">
        <f t="shared" ref="D36:E36" si="2">SUM(D2:D32)</f>
        <v>38</v>
      </c>
      <c r="E36" s="3">
        <f t="shared" si="2"/>
        <v>476</v>
      </c>
    </row>
    <row r="37" spans="1:5" x14ac:dyDescent="0.3">
      <c r="A37" s="13" t="s">
        <v>100</v>
      </c>
      <c r="D37" s="27">
        <f>D36+E36</f>
        <v>514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BE2C-55A5-487E-9048-D6C485F2991D}">
  <dimension ref="A1:G36"/>
  <sheetViews>
    <sheetView zoomScale="70" zoomScaleNormal="70" workbookViewId="0">
      <selection activeCell="A36" sqref="A36"/>
    </sheetView>
  </sheetViews>
  <sheetFormatPr defaultRowHeight="14.4" x14ac:dyDescent="0.3"/>
  <cols>
    <col min="1" max="1" width="23" style="3" bestFit="1" customWidth="1"/>
    <col min="2" max="2" width="16" style="3" bestFit="1" customWidth="1"/>
    <col min="3" max="3" width="16.88671875" style="3" bestFit="1" customWidth="1"/>
    <col min="4" max="4" width="16.109375" style="3" bestFit="1" customWidth="1"/>
    <col min="5" max="5" width="17.5546875" style="3" bestFit="1" customWidth="1"/>
    <col min="6" max="6" width="9.77734375" style="3" bestFit="1" customWidth="1"/>
    <col min="7" max="7" width="15.33203125" style="3" bestFit="1" customWidth="1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45962</v>
      </c>
      <c r="B2" s="5">
        <v>5</v>
      </c>
      <c r="C2" s="5">
        <v>12100</v>
      </c>
      <c r="D2" s="5">
        <v>1</v>
      </c>
      <c r="E2" s="5">
        <v>12</v>
      </c>
      <c r="F2" s="5" t="s">
        <v>10</v>
      </c>
      <c r="G2" s="5" t="s">
        <v>74</v>
      </c>
    </row>
    <row r="3" spans="1:7" x14ac:dyDescent="0.3">
      <c r="A3" s="4">
        <v>45963</v>
      </c>
      <c r="B3" s="5">
        <v>5</v>
      </c>
      <c r="C3" s="5">
        <v>13730</v>
      </c>
      <c r="D3" s="5">
        <v>2</v>
      </c>
      <c r="E3" s="5">
        <v>10</v>
      </c>
      <c r="F3" s="5" t="s">
        <v>7</v>
      </c>
      <c r="G3" s="5"/>
    </row>
    <row r="4" spans="1:7" x14ac:dyDescent="0.3">
      <c r="A4" s="4">
        <v>45964</v>
      </c>
      <c r="B4" s="5">
        <v>4</v>
      </c>
      <c r="C4" s="5">
        <v>7500</v>
      </c>
      <c r="D4" s="5">
        <v>1</v>
      </c>
      <c r="E4" s="5">
        <v>9</v>
      </c>
      <c r="F4" s="5" t="s">
        <v>7</v>
      </c>
      <c r="G4" s="5"/>
    </row>
    <row r="5" spans="1:7" x14ac:dyDescent="0.3">
      <c r="A5" s="4">
        <v>45965</v>
      </c>
      <c r="B5" s="5">
        <v>16</v>
      </c>
      <c r="C5" s="5">
        <v>27742</v>
      </c>
      <c r="D5" s="5">
        <v>4</v>
      </c>
      <c r="E5" s="5">
        <v>28</v>
      </c>
      <c r="F5" s="5" t="s">
        <v>10</v>
      </c>
      <c r="G5" s="5"/>
    </row>
    <row r="6" spans="1:7" x14ac:dyDescent="0.3">
      <c r="A6" s="4">
        <v>45966</v>
      </c>
      <c r="B6" s="5">
        <v>7</v>
      </c>
      <c r="C6" s="5">
        <v>9600</v>
      </c>
      <c r="D6" s="5">
        <v>2</v>
      </c>
      <c r="E6" s="5">
        <v>14</v>
      </c>
      <c r="F6" s="5" t="s">
        <v>10</v>
      </c>
      <c r="G6" s="5" t="s">
        <v>75</v>
      </c>
    </row>
    <row r="7" spans="1:7" x14ac:dyDescent="0.3">
      <c r="A7" s="4">
        <v>45967</v>
      </c>
      <c r="B7" s="5">
        <v>5</v>
      </c>
      <c r="C7" s="5">
        <v>8100</v>
      </c>
      <c r="D7" s="5">
        <v>1</v>
      </c>
      <c r="E7" s="5">
        <v>12</v>
      </c>
      <c r="F7" s="5" t="s">
        <v>7</v>
      </c>
      <c r="G7" s="5"/>
    </row>
    <row r="8" spans="1:7" x14ac:dyDescent="0.3">
      <c r="A8" s="4">
        <v>45968</v>
      </c>
      <c r="B8" s="5">
        <v>19</v>
      </c>
      <c r="C8" s="5">
        <v>20000</v>
      </c>
      <c r="D8" s="5">
        <v>4</v>
      </c>
      <c r="E8" s="5">
        <v>30</v>
      </c>
      <c r="F8" s="5" t="s">
        <v>10</v>
      </c>
      <c r="G8" s="5"/>
    </row>
    <row r="9" spans="1:7" x14ac:dyDescent="0.3">
      <c r="A9" s="4">
        <v>45969</v>
      </c>
      <c r="B9" s="5">
        <v>12</v>
      </c>
      <c r="C9" s="5">
        <v>14300</v>
      </c>
      <c r="D9" s="5">
        <v>3</v>
      </c>
      <c r="E9" s="5">
        <v>20</v>
      </c>
      <c r="F9" s="5" t="s">
        <v>10</v>
      </c>
      <c r="G9" s="5" t="s">
        <v>76</v>
      </c>
    </row>
    <row r="10" spans="1:7" x14ac:dyDescent="0.3">
      <c r="A10" s="4">
        <v>45970</v>
      </c>
      <c r="B10" s="5">
        <v>12</v>
      </c>
      <c r="C10" s="5">
        <v>39785</v>
      </c>
      <c r="D10" s="5">
        <v>3</v>
      </c>
      <c r="E10" s="5">
        <v>26</v>
      </c>
      <c r="F10" s="5" t="s">
        <v>10</v>
      </c>
      <c r="G10" s="5"/>
    </row>
    <row r="11" spans="1:7" x14ac:dyDescent="0.3">
      <c r="A11" s="4">
        <v>45971</v>
      </c>
      <c r="B11" s="5">
        <v>2</v>
      </c>
      <c r="C11" s="5">
        <v>9540</v>
      </c>
      <c r="D11" s="5">
        <v>1</v>
      </c>
      <c r="E11" s="5">
        <v>6</v>
      </c>
      <c r="F11" s="5" t="s">
        <v>7</v>
      </c>
      <c r="G11" s="5" t="s">
        <v>8</v>
      </c>
    </row>
    <row r="12" spans="1:7" x14ac:dyDescent="0.3">
      <c r="A12" s="4">
        <v>45972</v>
      </c>
      <c r="B12" s="5">
        <v>4</v>
      </c>
      <c r="C12" s="5">
        <v>2600</v>
      </c>
      <c r="D12" s="5">
        <v>0</v>
      </c>
      <c r="E12" s="5">
        <v>6</v>
      </c>
      <c r="F12" s="5" t="s">
        <v>9</v>
      </c>
      <c r="G12" s="5" t="s">
        <v>61</v>
      </c>
    </row>
    <row r="13" spans="1:7" x14ac:dyDescent="0.3">
      <c r="A13" s="4">
        <v>45973</v>
      </c>
      <c r="B13" s="5">
        <v>5</v>
      </c>
      <c r="C13" s="5">
        <v>9200</v>
      </c>
      <c r="D13" s="5">
        <v>1</v>
      </c>
      <c r="E13" s="5">
        <v>9</v>
      </c>
      <c r="F13" s="5" t="s">
        <v>7</v>
      </c>
      <c r="G13" s="5"/>
    </row>
    <row r="14" spans="1:7" x14ac:dyDescent="0.3">
      <c r="A14" s="4">
        <v>45974</v>
      </c>
      <c r="B14" s="5">
        <v>7</v>
      </c>
      <c r="C14" s="5">
        <v>2094</v>
      </c>
      <c r="D14" s="5">
        <v>1</v>
      </c>
      <c r="E14" s="5">
        <v>8</v>
      </c>
      <c r="F14" s="5" t="s">
        <v>7</v>
      </c>
      <c r="G14" s="5"/>
    </row>
    <row r="15" spans="1:7" x14ac:dyDescent="0.3">
      <c r="A15" s="4">
        <v>45975</v>
      </c>
      <c r="B15" s="5">
        <v>3</v>
      </c>
      <c r="C15" s="5">
        <v>6700</v>
      </c>
      <c r="D15" s="5">
        <v>1</v>
      </c>
      <c r="E15" s="5">
        <v>7</v>
      </c>
      <c r="F15" s="5" t="s">
        <v>7</v>
      </c>
      <c r="G15" s="5"/>
    </row>
    <row r="16" spans="1:7" x14ac:dyDescent="0.3">
      <c r="A16" s="4">
        <v>45976</v>
      </c>
      <c r="B16" s="5">
        <v>5</v>
      </c>
      <c r="C16" s="5">
        <v>13800</v>
      </c>
      <c r="D16" s="5">
        <v>2</v>
      </c>
      <c r="E16" s="5">
        <v>12</v>
      </c>
      <c r="F16" s="5" t="s">
        <v>10</v>
      </c>
      <c r="G16" s="5"/>
    </row>
    <row r="17" spans="1:7" x14ac:dyDescent="0.3">
      <c r="A17" s="4">
        <v>45977</v>
      </c>
      <c r="B17" s="5">
        <v>3</v>
      </c>
      <c r="C17" s="5">
        <v>7300</v>
      </c>
      <c r="D17" s="5">
        <v>1</v>
      </c>
      <c r="E17" s="5">
        <v>7</v>
      </c>
      <c r="F17" s="5" t="s">
        <v>7</v>
      </c>
      <c r="G17" s="5" t="s">
        <v>8</v>
      </c>
    </row>
    <row r="18" spans="1:7" x14ac:dyDescent="0.3">
      <c r="A18" s="4">
        <v>45978</v>
      </c>
      <c r="B18" s="5">
        <v>5</v>
      </c>
      <c r="C18" s="5">
        <v>11700</v>
      </c>
      <c r="D18" s="5">
        <v>1</v>
      </c>
      <c r="E18" s="5">
        <v>10</v>
      </c>
      <c r="F18" s="5" t="s">
        <v>7</v>
      </c>
      <c r="G18" s="5" t="s">
        <v>8</v>
      </c>
    </row>
    <row r="19" spans="1:7" x14ac:dyDescent="0.3">
      <c r="A19" s="4">
        <v>45979</v>
      </c>
      <c r="B19" s="5">
        <v>5</v>
      </c>
      <c r="C19" s="5">
        <v>11600</v>
      </c>
      <c r="D19" s="5">
        <v>1</v>
      </c>
      <c r="E19" s="5">
        <v>10</v>
      </c>
      <c r="F19" s="5" t="s">
        <v>7</v>
      </c>
      <c r="G19" s="5"/>
    </row>
    <row r="20" spans="1:7" x14ac:dyDescent="0.3">
      <c r="A20" s="4">
        <v>45980</v>
      </c>
      <c r="B20" s="5">
        <v>6</v>
      </c>
      <c r="C20" s="5">
        <v>2300</v>
      </c>
      <c r="D20" s="5">
        <v>0</v>
      </c>
      <c r="E20" s="5">
        <v>7</v>
      </c>
      <c r="F20" s="5" t="s">
        <v>9</v>
      </c>
      <c r="G20" s="5" t="s">
        <v>67</v>
      </c>
    </row>
    <row r="21" spans="1:7" x14ac:dyDescent="0.3">
      <c r="A21" s="4">
        <v>45981</v>
      </c>
      <c r="B21" s="5">
        <v>7</v>
      </c>
      <c r="C21" s="5">
        <v>14800</v>
      </c>
      <c r="D21" s="5">
        <v>2</v>
      </c>
      <c r="E21" s="5">
        <v>14</v>
      </c>
      <c r="F21" s="5" t="s">
        <v>10</v>
      </c>
      <c r="G21" s="5"/>
    </row>
    <row r="22" spans="1:7" x14ac:dyDescent="0.3">
      <c r="A22" s="4">
        <v>45982</v>
      </c>
      <c r="B22" s="5">
        <v>13</v>
      </c>
      <c r="C22" s="5">
        <v>17270</v>
      </c>
      <c r="D22" s="5">
        <v>3</v>
      </c>
      <c r="E22" s="5">
        <v>22</v>
      </c>
      <c r="F22" s="5" t="s">
        <v>10</v>
      </c>
      <c r="G22" s="5"/>
    </row>
    <row r="23" spans="1:7" x14ac:dyDescent="0.3">
      <c r="A23" s="4">
        <v>45983</v>
      </c>
      <c r="B23" s="5">
        <v>5</v>
      </c>
      <c r="C23" s="5">
        <v>15000</v>
      </c>
      <c r="D23" s="5">
        <v>2</v>
      </c>
      <c r="E23" s="5">
        <v>15</v>
      </c>
      <c r="F23" s="5" t="s">
        <v>10</v>
      </c>
      <c r="G23" s="5"/>
    </row>
    <row r="24" spans="1:7" x14ac:dyDescent="0.3">
      <c r="A24" s="4">
        <v>45984</v>
      </c>
      <c r="B24" s="5">
        <v>4</v>
      </c>
      <c r="C24" s="5">
        <v>7600</v>
      </c>
      <c r="D24" s="5">
        <v>1</v>
      </c>
      <c r="E24" s="5">
        <v>8</v>
      </c>
      <c r="F24" s="5" t="s">
        <v>7</v>
      </c>
      <c r="G24" s="5" t="s">
        <v>8</v>
      </c>
    </row>
    <row r="25" spans="1:7" x14ac:dyDescent="0.3">
      <c r="A25" s="4">
        <v>45985</v>
      </c>
      <c r="B25" s="5">
        <v>14</v>
      </c>
      <c r="C25" s="5">
        <v>29465</v>
      </c>
      <c r="D25" s="5">
        <v>3</v>
      </c>
      <c r="E25" s="5">
        <v>24</v>
      </c>
      <c r="F25" s="5" t="s">
        <v>10</v>
      </c>
      <c r="G25" s="5"/>
    </row>
    <row r="26" spans="1:7" x14ac:dyDescent="0.3">
      <c r="A26" s="4">
        <v>45986</v>
      </c>
      <c r="B26" s="5">
        <v>12</v>
      </c>
      <c r="C26" s="5">
        <v>24100</v>
      </c>
      <c r="D26" s="5">
        <v>2</v>
      </c>
      <c r="E26" s="5">
        <v>20</v>
      </c>
      <c r="F26" s="5" t="s">
        <v>10</v>
      </c>
      <c r="G26" s="5"/>
    </row>
    <row r="27" spans="1:7" x14ac:dyDescent="0.3">
      <c r="A27" s="4">
        <v>45987</v>
      </c>
      <c r="B27" s="5">
        <v>3</v>
      </c>
      <c r="C27" s="5">
        <v>2000</v>
      </c>
      <c r="D27" s="5">
        <v>0</v>
      </c>
      <c r="E27" s="5">
        <v>6</v>
      </c>
      <c r="F27" s="5" t="s">
        <v>9</v>
      </c>
      <c r="G27" s="5" t="s">
        <v>58</v>
      </c>
    </row>
    <row r="28" spans="1:7" x14ac:dyDescent="0.3">
      <c r="A28" s="4">
        <v>45988</v>
      </c>
      <c r="B28" s="5">
        <v>2</v>
      </c>
      <c r="C28" s="5">
        <v>2600</v>
      </c>
      <c r="D28" s="5">
        <v>0</v>
      </c>
      <c r="E28" s="5">
        <v>5</v>
      </c>
      <c r="F28" s="5" t="s">
        <v>9</v>
      </c>
      <c r="G28" s="5" t="s">
        <v>61</v>
      </c>
    </row>
    <row r="29" spans="1:7" x14ac:dyDescent="0.3">
      <c r="A29" s="4">
        <v>45989</v>
      </c>
      <c r="B29" s="5">
        <v>5</v>
      </c>
      <c r="C29" s="5">
        <v>4800</v>
      </c>
      <c r="D29" s="5">
        <v>1</v>
      </c>
      <c r="E29" s="5">
        <v>9</v>
      </c>
      <c r="F29" s="5" t="s">
        <v>7</v>
      </c>
      <c r="G29" s="5" t="s">
        <v>8</v>
      </c>
    </row>
    <row r="30" spans="1:7" x14ac:dyDescent="0.3">
      <c r="A30" s="4">
        <v>45990</v>
      </c>
      <c r="B30" s="5">
        <v>7</v>
      </c>
      <c r="C30" s="5">
        <v>21300</v>
      </c>
      <c r="D30" s="5">
        <v>2</v>
      </c>
      <c r="E30" s="5">
        <v>16</v>
      </c>
      <c r="F30" s="5" t="s">
        <v>10</v>
      </c>
      <c r="G30" s="5"/>
    </row>
    <row r="31" spans="1:7" x14ac:dyDescent="0.3">
      <c r="A31" s="4">
        <v>45991</v>
      </c>
      <c r="B31" s="5">
        <v>4</v>
      </c>
      <c r="C31" s="5">
        <v>6900</v>
      </c>
      <c r="D31" s="5">
        <v>1</v>
      </c>
      <c r="E31" s="5">
        <v>8</v>
      </c>
      <c r="F31" s="5" t="s">
        <v>7</v>
      </c>
      <c r="G31" s="5"/>
    </row>
    <row r="33" spans="1:5" x14ac:dyDescent="0.3">
      <c r="A33" s="13" t="s">
        <v>83</v>
      </c>
      <c r="B33" s="3">
        <f>AVERAGE(B2:B31)</f>
        <v>6.8666666666666663</v>
      </c>
      <c r="C33" s="3">
        <f t="shared" ref="C33:E33" si="0">AVERAGE(C2:C31)</f>
        <v>12517.533333333333</v>
      </c>
      <c r="D33" s="3">
        <f t="shared" si="0"/>
        <v>1.5666666666666667</v>
      </c>
      <c r="E33" s="3">
        <f t="shared" si="0"/>
        <v>13</v>
      </c>
    </row>
    <row r="34" spans="1:5" x14ac:dyDescent="0.3">
      <c r="A34" s="13" t="s">
        <v>89</v>
      </c>
      <c r="B34" s="3">
        <f>_xlfn.STDEV.P(B2:B31)</f>
        <v>4.3029705501613131</v>
      </c>
      <c r="C34" s="3">
        <f t="shared" ref="C34:E34" si="1">_xlfn.STDEV.P(C2:C31)</f>
        <v>8834.6741638966068</v>
      </c>
      <c r="D34" s="3">
        <f t="shared" si="1"/>
        <v>1.085766498326822</v>
      </c>
      <c r="E34" s="3">
        <f t="shared" si="1"/>
        <v>7</v>
      </c>
    </row>
    <row r="35" spans="1:5" x14ac:dyDescent="0.3">
      <c r="A35" s="13" t="s">
        <v>93</v>
      </c>
      <c r="B35" s="3">
        <f>SUM(B2:B31)</f>
        <v>206</v>
      </c>
      <c r="C35" s="3">
        <f>SUM(C2:C31)</f>
        <v>375526</v>
      </c>
      <c r="D35" s="3">
        <f t="shared" ref="D35:E35" si="2">SUM(D2:D31)</f>
        <v>47</v>
      </c>
      <c r="E35" s="3">
        <f t="shared" si="2"/>
        <v>390</v>
      </c>
    </row>
    <row r="36" spans="1:5" x14ac:dyDescent="0.3">
      <c r="A36" s="13" t="s">
        <v>100</v>
      </c>
      <c r="D36" s="27">
        <f>D35+E35</f>
        <v>437</v>
      </c>
      <c r="E36" s="27"/>
    </row>
  </sheetData>
  <mergeCells count="1">
    <mergeCell ref="D36:E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98D6-4A64-4564-8B73-1BDEFE763148}">
  <dimension ref="A1:G37"/>
  <sheetViews>
    <sheetView zoomScale="72" workbookViewId="0">
      <selection activeCell="D38" sqref="D38"/>
    </sheetView>
  </sheetViews>
  <sheetFormatPr defaultRowHeight="14.4" x14ac:dyDescent="0.3"/>
  <cols>
    <col min="1" max="1" width="22.6640625" style="3" bestFit="1" customWidth="1"/>
    <col min="2" max="2" width="15.77734375" style="3" bestFit="1" customWidth="1"/>
    <col min="3" max="3" width="16.44140625" style="3" bestFit="1" customWidth="1"/>
    <col min="4" max="4" width="15.6640625" style="3" bestFit="1" customWidth="1"/>
    <col min="5" max="5" width="17.33203125" style="3" bestFit="1" customWidth="1"/>
    <col min="6" max="6" width="9.77734375" style="3" bestFit="1" customWidth="1"/>
    <col min="7" max="7" width="16.77734375" style="3" bestFit="1" customWidth="1"/>
    <col min="8" max="16384" width="8.88671875" style="3"/>
  </cols>
  <sheetData>
    <row r="1" spans="1:7" x14ac:dyDescent="0.3">
      <c r="A1" s="2" t="s">
        <v>0</v>
      </c>
      <c r="B1" s="2" t="s">
        <v>1</v>
      </c>
      <c r="C1" s="2" t="s">
        <v>14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>
        <v>45992</v>
      </c>
      <c r="B2" s="5">
        <v>3</v>
      </c>
      <c r="C2" s="5">
        <v>6900</v>
      </c>
      <c r="D2" s="5">
        <v>1</v>
      </c>
      <c r="E2" s="5">
        <v>6</v>
      </c>
      <c r="F2" s="5" t="s">
        <v>7</v>
      </c>
      <c r="G2" s="5" t="s">
        <v>8</v>
      </c>
    </row>
    <row r="3" spans="1:7" x14ac:dyDescent="0.3">
      <c r="A3" s="4">
        <v>45993</v>
      </c>
      <c r="B3" s="5">
        <v>5</v>
      </c>
      <c r="C3" s="5">
        <v>11450</v>
      </c>
      <c r="D3" s="5">
        <v>1</v>
      </c>
      <c r="E3" s="5">
        <v>9</v>
      </c>
      <c r="F3" s="5" t="s">
        <v>7</v>
      </c>
      <c r="G3" s="5" t="s">
        <v>8</v>
      </c>
    </row>
    <row r="4" spans="1:7" x14ac:dyDescent="0.3">
      <c r="A4" s="4">
        <v>45994</v>
      </c>
      <c r="B4" s="5">
        <v>11</v>
      </c>
      <c r="C4" s="5">
        <v>22500</v>
      </c>
      <c r="D4" s="5">
        <v>3</v>
      </c>
      <c r="E4" s="5">
        <v>18</v>
      </c>
      <c r="F4" s="5" t="s">
        <v>10</v>
      </c>
      <c r="G4" s="5"/>
    </row>
    <row r="5" spans="1:7" x14ac:dyDescent="0.3">
      <c r="A5" s="4">
        <v>45995</v>
      </c>
      <c r="B5" s="5">
        <v>13</v>
      </c>
      <c r="C5" s="5">
        <v>20000</v>
      </c>
      <c r="D5" s="5">
        <v>2</v>
      </c>
      <c r="E5" s="5">
        <v>20</v>
      </c>
      <c r="F5" s="5" t="s">
        <v>10</v>
      </c>
      <c r="G5" s="5"/>
    </row>
    <row r="6" spans="1:7" x14ac:dyDescent="0.3">
      <c r="A6" s="4">
        <v>45996</v>
      </c>
      <c r="B6" s="5">
        <v>10</v>
      </c>
      <c r="C6" s="5">
        <v>7600</v>
      </c>
      <c r="D6" s="5">
        <v>1</v>
      </c>
      <c r="E6" s="5">
        <v>12</v>
      </c>
      <c r="F6" s="5" t="s">
        <v>10</v>
      </c>
      <c r="G6" s="5" t="s">
        <v>77</v>
      </c>
    </row>
    <row r="7" spans="1:7" x14ac:dyDescent="0.3">
      <c r="A7" s="4">
        <v>45997</v>
      </c>
      <c r="B7" s="5">
        <v>5</v>
      </c>
      <c r="C7" s="5">
        <v>27300</v>
      </c>
      <c r="D7" s="5">
        <v>3</v>
      </c>
      <c r="E7" s="5">
        <v>15</v>
      </c>
      <c r="F7" s="5" t="s">
        <v>10</v>
      </c>
      <c r="G7" s="5"/>
    </row>
    <row r="8" spans="1:7" x14ac:dyDescent="0.3">
      <c r="A8" s="4">
        <v>45998</v>
      </c>
      <c r="B8" s="5">
        <v>4</v>
      </c>
      <c r="C8" s="5">
        <v>6900</v>
      </c>
      <c r="D8" s="5">
        <v>1</v>
      </c>
      <c r="E8" s="5">
        <v>8</v>
      </c>
      <c r="F8" s="5" t="s">
        <v>7</v>
      </c>
      <c r="G8" s="5" t="s">
        <v>8</v>
      </c>
    </row>
    <row r="9" spans="1:7" x14ac:dyDescent="0.3">
      <c r="A9" s="4">
        <v>45999</v>
      </c>
      <c r="B9" s="5">
        <v>10</v>
      </c>
      <c r="C9" s="5">
        <v>20700</v>
      </c>
      <c r="D9" s="5">
        <v>2</v>
      </c>
      <c r="E9" s="5">
        <v>14</v>
      </c>
      <c r="F9" s="5" t="s">
        <v>10</v>
      </c>
      <c r="G9" s="5" t="s">
        <v>8</v>
      </c>
    </row>
    <row r="10" spans="1:7" x14ac:dyDescent="0.3">
      <c r="A10" s="4">
        <v>46000</v>
      </c>
      <c r="B10" s="5">
        <v>11</v>
      </c>
      <c r="C10" s="5">
        <v>10400</v>
      </c>
      <c r="D10" s="5">
        <v>2</v>
      </c>
      <c r="E10" s="5">
        <v>13</v>
      </c>
      <c r="F10" s="5" t="s">
        <v>10</v>
      </c>
      <c r="G10" s="5" t="s">
        <v>8</v>
      </c>
    </row>
    <row r="11" spans="1:7" x14ac:dyDescent="0.3">
      <c r="A11" s="4">
        <v>46001</v>
      </c>
      <c r="B11" s="5">
        <v>3</v>
      </c>
      <c r="C11" s="5">
        <v>11500</v>
      </c>
      <c r="D11" s="5">
        <v>1</v>
      </c>
      <c r="E11" s="5">
        <v>7</v>
      </c>
      <c r="F11" s="5" t="s">
        <v>7</v>
      </c>
      <c r="G11" s="5" t="s">
        <v>8</v>
      </c>
    </row>
    <row r="12" spans="1:7" x14ac:dyDescent="0.3">
      <c r="A12" s="4">
        <v>46002</v>
      </c>
      <c r="B12" s="5">
        <v>3</v>
      </c>
      <c r="C12" s="5">
        <v>2800</v>
      </c>
      <c r="D12" s="5">
        <v>0</v>
      </c>
      <c r="E12" s="5">
        <v>5</v>
      </c>
      <c r="F12" s="5" t="s">
        <v>9</v>
      </c>
      <c r="G12" s="5" t="s">
        <v>78</v>
      </c>
    </row>
    <row r="13" spans="1:7" x14ac:dyDescent="0.3">
      <c r="A13" s="4">
        <v>46003</v>
      </c>
      <c r="B13" s="5">
        <v>8</v>
      </c>
      <c r="C13" s="5">
        <v>21411</v>
      </c>
      <c r="D13" s="5">
        <v>2</v>
      </c>
      <c r="E13" s="5">
        <v>14</v>
      </c>
      <c r="F13" s="5" t="s">
        <v>10</v>
      </c>
      <c r="G13" s="5" t="s">
        <v>8</v>
      </c>
    </row>
    <row r="14" spans="1:7" x14ac:dyDescent="0.3">
      <c r="A14" s="4">
        <v>46004</v>
      </c>
      <c r="B14" s="5">
        <v>2</v>
      </c>
      <c r="C14" s="5">
        <v>6394</v>
      </c>
      <c r="D14" s="5">
        <v>1</v>
      </c>
      <c r="E14" s="5">
        <v>6</v>
      </c>
      <c r="F14" s="5" t="s">
        <v>7</v>
      </c>
      <c r="G14" s="5"/>
    </row>
    <row r="15" spans="1:7" x14ac:dyDescent="0.3">
      <c r="A15" s="4">
        <v>46005</v>
      </c>
      <c r="B15" s="5">
        <v>4</v>
      </c>
      <c r="C15" s="5">
        <v>7200</v>
      </c>
      <c r="D15" s="5">
        <v>1</v>
      </c>
      <c r="E15" s="5">
        <v>7</v>
      </c>
      <c r="F15" s="5" t="s">
        <v>7</v>
      </c>
      <c r="G15" s="5"/>
    </row>
    <row r="16" spans="1:7" x14ac:dyDescent="0.3">
      <c r="A16" s="4">
        <v>46006</v>
      </c>
      <c r="B16" s="5">
        <v>6</v>
      </c>
      <c r="C16" s="5">
        <v>9800</v>
      </c>
      <c r="D16" s="5">
        <v>1</v>
      </c>
      <c r="E16" s="5">
        <v>10</v>
      </c>
      <c r="F16" s="5" t="s">
        <v>7</v>
      </c>
      <c r="G16" s="5"/>
    </row>
    <row r="17" spans="1:7" x14ac:dyDescent="0.3">
      <c r="A17" s="4">
        <v>46007</v>
      </c>
      <c r="B17" s="5">
        <v>7</v>
      </c>
      <c r="C17" s="5">
        <v>14900</v>
      </c>
      <c r="D17" s="5">
        <v>2</v>
      </c>
      <c r="E17" s="5">
        <v>12</v>
      </c>
      <c r="F17" s="5" t="s">
        <v>10</v>
      </c>
      <c r="G17" s="5" t="s">
        <v>8</v>
      </c>
    </row>
    <row r="18" spans="1:7" x14ac:dyDescent="0.3">
      <c r="A18" s="4">
        <v>46008</v>
      </c>
      <c r="B18" s="5">
        <v>4</v>
      </c>
      <c r="C18" s="5">
        <v>19400</v>
      </c>
      <c r="D18" s="5">
        <v>1</v>
      </c>
      <c r="E18" s="5">
        <v>11</v>
      </c>
      <c r="F18" s="5" t="s">
        <v>7</v>
      </c>
      <c r="G18" s="5" t="s">
        <v>8</v>
      </c>
    </row>
    <row r="19" spans="1:7" x14ac:dyDescent="0.3">
      <c r="A19" s="4">
        <v>46009</v>
      </c>
      <c r="B19" s="5">
        <v>9</v>
      </c>
      <c r="C19" s="5">
        <v>11600</v>
      </c>
      <c r="D19" s="5">
        <v>2</v>
      </c>
      <c r="E19" s="5">
        <v>13</v>
      </c>
      <c r="F19" s="5" t="s">
        <v>10</v>
      </c>
      <c r="G19" s="5"/>
    </row>
    <row r="20" spans="1:7" x14ac:dyDescent="0.3">
      <c r="A20" s="4">
        <v>46010</v>
      </c>
      <c r="B20" s="5">
        <v>4</v>
      </c>
      <c r="C20" s="5">
        <v>6900</v>
      </c>
      <c r="D20" s="5">
        <v>1</v>
      </c>
      <c r="E20" s="5">
        <v>8</v>
      </c>
      <c r="F20" s="5" t="s">
        <v>7</v>
      </c>
      <c r="G20" s="5"/>
    </row>
    <row r="21" spans="1:7" x14ac:dyDescent="0.3">
      <c r="A21" s="4">
        <v>46011</v>
      </c>
      <c r="B21" s="5">
        <v>11</v>
      </c>
      <c r="C21" s="5">
        <v>25800</v>
      </c>
      <c r="D21" s="5">
        <v>3</v>
      </c>
      <c r="E21" s="5">
        <v>18</v>
      </c>
      <c r="F21" s="5" t="s">
        <v>10</v>
      </c>
      <c r="G21" s="5"/>
    </row>
    <row r="22" spans="1:7" x14ac:dyDescent="0.3">
      <c r="A22" s="4">
        <v>46012</v>
      </c>
      <c r="B22" s="5">
        <v>6</v>
      </c>
      <c r="C22" s="5">
        <v>13400</v>
      </c>
      <c r="D22" s="5">
        <v>2</v>
      </c>
      <c r="E22" s="5">
        <v>12</v>
      </c>
      <c r="F22" s="5" t="s">
        <v>10</v>
      </c>
      <c r="G22" s="5"/>
    </row>
    <row r="23" spans="1:7" x14ac:dyDescent="0.3">
      <c r="A23" s="4">
        <v>46013</v>
      </c>
      <c r="B23" s="5">
        <v>7</v>
      </c>
      <c r="C23" s="5">
        <v>10000</v>
      </c>
      <c r="D23" s="5">
        <v>1</v>
      </c>
      <c r="E23" s="5">
        <v>10</v>
      </c>
      <c r="F23" s="5" t="s">
        <v>10</v>
      </c>
      <c r="G23" s="5" t="s">
        <v>8</v>
      </c>
    </row>
    <row r="24" spans="1:7" x14ac:dyDescent="0.3">
      <c r="A24" s="4">
        <v>46014</v>
      </c>
      <c r="B24" s="5">
        <v>8</v>
      </c>
      <c r="C24" s="5">
        <v>6600</v>
      </c>
      <c r="D24" s="5">
        <v>1</v>
      </c>
      <c r="E24" s="5">
        <v>9</v>
      </c>
      <c r="F24" s="5" t="s">
        <v>7</v>
      </c>
      <c r="G24" s="5"/>
    </row>
    <row r="25" spans="1:7" x14ac:dyDescent="0.3">
      <c r="A25" s="4">
        <v>46015</v>
      </c>
      <c r="B25" s="5">
        <v>2</v>
      </c>
      <c r="C25" s="5">
        <v>4600</v>
      </c>
      <c r="D25" s="5">
        <v>0</v>
      </c>
      <c r="E25" s="5">
        <v>5</v>
      </c>
      <c r="F25" s="5" t="s">
        <v>9</v>
      </c>
      <c r="G25" s="5"/>
    </row>
    <row r="26" spans="1:7" x14ac:dyDescent="0.3">
      <c r="A26" s="4">
        <v>46016</v>
      </c>
      <c r="B26" s="5">
        <v>9</v>
      </c>
      <c r="C26" s="5">
        <v>21500</v>
      </c>
      <c r="D26" s="5">
        <v>3</v>
      </c>
      <c r="E26" s="5">
        <v>16</v>
      </c>
      <c r="F26" s="5" t="s">
        <v>10</v>
      </c>
      <c r="G26" s="5" t="s">
        <v>79</v>
      </c>
    </row>
    <row r="27" spans="1:7" x14ac:dyDescent="0.3">
      <c r="A27" s="4">
        <v>46017</v>
      </c>
      <c r="B27" s="5">
        <v>10</v>
      </c>
      <c r="C27" s="5">
        <v>23800</v>
      </c>
      <c r="D27" s="5">
        <v>2</v>
      </c>
      <c r="E27" s="5">
        <v>17</v>
      </c>
      <c r="F27" s="5" t="s">
        <v>10</v>
      </c>
      <c r="G27" s="5" t="s">
        <v>80</v>
      </c>
    </row>
    <row r="28" spans="1:7" x14ac:dyDescent="0.3">
      <c r="A28" s="4">
        <v>46018</v>
      </c>
      <c r="B28" s="5">
        <v>5</v>
      </c>
      <c r="C28" s="5">
        <v>10600</v>
      </c>
      <c r="D28" s="5">
        <v>1</v>
      </c>
      <c r="E28" s="5">
        <v>11</v>
      </c>
      <c r="F28" s="5" t="s">
        <v>7</v>
      </c>
      <c r="G28" s="5" t="s">
        <v>8</v>
      </c>
    </row>
    <row r="29" spans="1:7" x14ac:dyDescent="0.3">
      <c r="A29" s="4">
        <v>46019</v>
      </c>
      <c r="B29" s="5">
        <v>6</v>
      </c>
      <c r="C29" s="5">
        <v>11670</v>
      </c>
      <c r="D29" s="5">
        <v>2</v>
      </c>
      <c r="E29" s="5">
        <v>12</v>
      </c>
      <c r="F29" s="5" t="s">
        <v>10</v>
      </c>
      <c r="G29" s="5" t="s">
        <v>8</v>
      </c>
    </row>
    <row r="30" spans="1:7" x14ac:dyDescent="0.3">
      <c r="A30" s="4">
        <v>46020</v>
      </c>
      <c r="B30" s="5">
        <v>9</v>
      </c>
      <c r="C30" s="5">
        <v>19600</v>
      </c>
      <c r="D30" s="5">
        <v>2</v>
      </c>
      <c r="E30" s="5">
        <v>15</v>
      </c>
      <c r="F30" s="5" t="s">
        <v>10</v>
      </c>
      <c r="G30" s="5" t="s">
        <v>8</v>
      </c>
    </row>
    <row r="31" spans="1:7" x14ac:dyDescent="0.3">
      <c r="A31" s="4">
        <v>46021</v>
      </c>
      <c r="B31" s="5">
        <v>6</v>
      </c>
      <c r="C31" s="5">
        <v>11500</v>
      </c>
      <c r="D31" s="5">
        <v>1</v>
      </c>
      <c r="E31" s="5">
        <v>12</v>
      </c>
      <c r="F31" s="5" t="s">
        <v>7</v>
      </c>
      <c r="G31" s="5"/>
    </row>
    <row r="32" spans="1:7" x14ac:dyDescent="0.3">
      <c r="A32" s="4">
        <v>46022</v>
      </c>
      <c r="B32" s="5">
        <v>12</v>
      </c>
      <c r="C32" s="5">
        <v>24800</v>
      </c>
      <c r="D32" s="5">
        <v>3</v>
      </c>
      <c r="E32" s="5">
        <v>20</v>
      </c>
      <c r="F32" s="5" t="s">
        <v>10</v>
      </c>
      <c r="G32" s="5" t="s">
        <v>81</v>
      </c>
    </row>
    <row r="34" spans="1:5" x14ac:dyDescent="0.3">
      <c r="A34" s="13" t="s">
        <v>83</v>
      </c>
      <c r="B34" s="3">
        <f>AVERAGE(B2:B32)</f>
        <v>6.870967741935484</v>
      </c>
      <c r="C34" s="3">
        <f t="shared" ref="C34:E34" si="0">AVERAGE(C2:C32)</f>
        <v>13855.645161290322</v>
      </c>
      <c r="D34" s="3">
        <f t="shared" si="0"/>
        <v>1.5806451612903225</v>
      </c>
      <c r="E34" s="3">
        <f t="shared" si="0"/>
        <v>11.774193548387096</v>
      </c>
    </row>
    <row r="35" spans="1:5" x14ac:dyDescent="0.3">
      <c r="A35" s="13" t="s">
        <v>89</v>
      </c>
      <c r="B35" s="3">
        <f>_xlfn.STDEV.P(B2:B32)</f>
        <v>3.1081779278570076</v>
      </c>
      <c r="C35" s="3">
        <f t="shared" ref="C35:E35" si="1">_xlfn.STDEV.P(C2:C32)</f>
        <v>6973.1271484842582</v>
      </c>
      <c r="D35" s="3">
        <f t="shared" si="1"/>
        <v>0.83373212795613449</v>
      </c>
      <c r="E35" s="3">
        <f t="shared" si="1"/>
        <v>4.2022242759953716</v>
      </c>
    </row>
    <row r="36" spans="1:5" x14ac:dyDescent="0.3">
      <c r="A36" s="13" t="s">
        <v>93</v>
      </c>
      <c r="B36" s="3">
        <f>SUM(B2:B32)</f>
        <v>213</v>
      </c>
      <c r="C36" s="3">
        <f>SUM(C2:C32)</f>
        <v>429525</v>
      </c>
      <c r="D36" s="3">
        <f t="shared" ref="D36:E36" si="2">SUM(D2:D32)</f>
        <v>49</v>
      </c>
      <c r="E36" s="3">
        <f t="shared" si="2"/>
        <v>365</v>
      </c>
    </row>
    <row r="37" spans="1:5" x14ac:dyDescent="0.3">
      <c r="A37" s="13" t="s">
        <v>100</v>
      </c>
      <c r="D37" s="27">
        <f>D36+E36</f>
        <v>414</v>
      </c>
      <c r="E37" s="27"/>
    </row>
  </sheetData>
  <mergeCells count="1">
    <mergeCell ref="D37:E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374B-2E9B-4801-9CC4-355C9D553BD9}">
  <dimension ref="A1:H16"/>
  <sheetViews>
    <sheetView zoomScale="70" workbookViewId="0">
      <selection activeCell="A21" sqref="A21"/>
    </sheetView>
  </sheetViews>
  <sheetFormatPr defaultColWidth="19" defaultRowHeight="14.4" x14ac:dyDescent="0.3"/>
  <cols>
    <col min="1" max="1" width="7.6640625" bestFit="1" customWidth="1"/>
    <col min="2" max="2" width="26.5546875" bestFit="1" customWidth="1"/>
    <col min="3" max="3" width="23.6640625" bestFit="1" customWidth="1"/>
    <col min="4" max="4" width="25.6640625" bestFit="1" customWidth="1"/>
    <col min="5" max="5" width="27.77734375" bestFit="1" customWidth="1"/>
    <col min="6" max="6" width="19.6640625" bestFit="1" customWidth="1"/>
  </cols>
  <sheetData>
    <row r="1" spans="1:8" x14ac:dyDescent="0.3">
      <c r="A1" s="19" t="s">
        <v>91</v>
      </c>
      <c r="B1" s="19"/>
      <c r="C1" s="19"/>
      <c r="D1" s="19"/>
      <c r="E1" s="19"/>
      <c r="F1" s="19"/>
      <c r="G1" s="19"/>
      <c r="H1" s="19"/>
    </row>
    <row r="2" spans="1:8" x14ac:dyDescent="0.3">
      <c r="A2" s="10" t="s">
        <v>84</v>
      </c>
      <c r="B2" s="10" t="s">
        <v>85</v>
      </c>
      <c r="C2" s="10" t="s">
        <v>86</v>
      </c>
      <c r="D2" s="10" t="s">
        <v>87</v>
      </c>
      <c r="E2" s="10" t="s">
        <v>88</v>
      </c>
      <c r="F2" s="10" t="s">
        <v>92</v>
      </c>
      <c r="G2" s="10" t="s">
        <v>94</v>
      </c>
      <c r="H2" s="10" t="s">
        <v>95</v>
      </c>
    </row>
    <row r="3" spans="1:8" x14ac:dyDescent="0.3">
      <c r="A3" s="11">
        <v>45658</v>
      </c>
      <c r="B3" s="9">
        <v>5.5238095238095237</v>
      </c>
      <c r="C3" s="9">
        <v>12427.476190476191</v>
      </c>
      <c r="D3" s="9">
        <v>1.6190476190476191</v>
      </c>
      <c r="E3" s="9">
        <v>14.047619047619047</v>
      </c>
      <c r="F3">
        <v>260977</v>
      </c>
      <c r="G3">
        <v>34</v>
      </c>
      <c r="H3">
        <v>295</v>
      </c>
    </row>
    <row r="4" spans="1:8" x14ac:dyDescent="0.3">
      <c r="A4" s="11">
        <v>45689</v>
      </c>
      <c r="B4" s="3">
        <v>5.9642857142857144</v>
      </c>
      <c r="C4" s="3">
        <v>13448.928571428571</v>
      </c>
      <c r="D4" s="3">
        <v>1.9285714285714286</v>
      </c>
      <c r="E4" s="3">
        <v>15.214285714285714</v>
      </c>
      <c r="F4">
        <v>376570</v>
      </c>
      <c r="G4">
        <v>54</v>
      </c>
      <c r="H4">
        <v>426</v>
      </c>
    </row>
    <row r="5" spans="1:8" x14ac:dyDescent="0.3">
      <c r="A5" s="11">
        <v>45717</v>
      </c>
      <c r="B5" s="3">
        <v>2.5161290322580645</v>
      </c>
      <c r="C5" s="3">
        <v>5803.2258064516127</v>
      </c>
      <c r="D5" s="3">
        <v>0.70967741935483875</v>
      </c>
      <c r="E5" s="3">
        <v>6.4838709677419351</v>
      </c>
      <c r="F5">
        <v>179900</v>
      </c>
      <c r="G5">
        <v>22</v>
      </c>
      <c r="H5">
        <v>201</v>
      </c>
    </row>
    <row r="6" spans="1:8" x14ac:dyDescent="0.3">
      <c r="A6" s="11">
        <v>45748</v>
      </c>
      <c r="B6" s="3">
        <v>9.6999999999999993</v>
      </c>
      <c r="C6" s="3">
        <v>22310</v>
      </c>
      <c r="D6" s="3">
        <v>3.2333333333333334</v>
      </c>
      <c r="E6" s="3">
        <v>25</v>
      </c>
      <c r="F6">
        <v>669300</v>
      </c>
      <c r="G6">
        <v>97</v>
      </c>
      <c r="H6">
        <v>750</v>
      </c>
    </row>
    <row r="7" spans="1:8" x14ac:dyDescent="0.3">
      <c r="A7" s="11">
        <v>45778</v>
      </c>
      <c r="B7" s="3">
        <v>13.387096774193548</v>
      </c>
      <c r="C7" s="3">
        <v>30790.322580645163</v>
      </c>
      <c r="D7" s="3">
        <v>4.612903225806452</v>
      </c>
      <c r="E7" s="3">
        <v>34.354838709677416</v>
      </c>
      <c r="F7">
        <v>954500</v>
      </c>
      <c r="G7">
        <v>143</v>
      </c>
      <c r="H7">
        <v>1065</v>
      </c>
    </row>
    <row r="8" spans="1:8" x14ac:dyDescent="0.3">
      <c r="A8" s="11">
        <v>45809</v>
      </c>
      <c r="B8" s="3">
        <v>8.6</v>
      </c>
      <c r="C8" s="3">
        <v>17844.3</v>
      </c>
      <c r="D8" s="3">
        <v>1.3666666666666667</v>
      </c>
      <c r="E8" s="3">
        <v>19.866666666666667</v>
      </c>
      <c r="F8">
        <v>535329</v>
      </c>
      <c r="G8">
        <v>41</v>
      </c>
      <c r="H8">
        <v>596</v>
      </c>
    </row>
    <row r="9" spans="1:8" x14ac:dyDescent="0.3">
      <c r="A9" s="11">
        <v>45839</v>
      </c>
      <c r="B9" s="3">
        <v>10.774193548387096</v>
      </c>
      <c r="C9" s="3">
        <v>18628.387096774193</v>
      </c>
      <c r="D9" s="3">
        <v>0.83870967741935487</v>
      </c>
      <c r="E9" s="3">
        <v>25.387096774193548</v>
      </c>
      <c r="F9">
        <v>577480</v>
      </c>
      <c r="G9">
        <v>26</v>
      </c>
      <c r="H9">
        <v>787</v>
      </c>
    </row>
    <row r="10" spans="1:8" x14ac:dyDescent="0.3">
      <c r="A10" s="11">
        <v>45870</v>
      </c>
      <c r="B10" s="3">
        <v>7.193548387096774</v>
      </c>
      <c r="C10" s="3">
        <v>15646.41935483871</v>
      </c>
      <c r="D10" s="3">
        <v>1.4193548387096775</v>
      </c>
      <c r="E10" s="3">
        <v>17.129032258064516</v>
      </c>
      <c r="F10">
        <v>485039</v>
      </c>
      <c r="G10">
        <v>44</v>
      </c>
      <c r="H10">
        <v>531</v>
      </c>
    </row>
    <row r="11" spans="1:8" x14ac:dyDescent="0.3">
      <c r="A11" s="11">
        <v>45901</v>
      </c>
      <c r="B11" s="3">
        <v>7.2</v>
      </c>
      <c r="C11" s="3">
        <v>12077.733333333334</v>
      </c>
      <c r="D11" s="3">
        <v>0.9</v>
      </c>
      <c r="E11" s="3">
        <v>13.2</v>
      </c>
      <c r="F11">
        <v>362332</v>
      </c>
      <c r="G11">
        <v>27</v>
      </c>
      <c r="H11">
        <v>396</v>
      </c>
    </row>
    <row r="12" spans="1:8" x14ac:dyDescent="0.3">
      <c r="A12" s="11">
        <v>45931</v>
      </c>
      <c r="B12" s="3">
        <v>8.064516129032258</v>
      </c>
      <c r="C12" s="3">
        <v>14601.41935483871</v>
      </c>
      <c r="D12" s="3">
        <v>1.2258064516129032</v>
      </c>
      <c r="E12" s="3">
        <v>15.35483870967742</v>
      </c>
      <c r="F12">
        <v>452644</v>
      </c>
      <c r="G12">
        <v>38</v>
      </c>
      <c r="H12">
        <v>476</v>
      </c>
    </row>
    <row r="13" spans="1:8" x14ac:dyDescent="0.3">
      <c r="A13" s="11">
        <v>45962</v>
      </c>
      <c r="B13" s="3">
        <v>6.8666666666666663</v>
      </c>
      <c r="C13" s="3">
        <v>12517.533333333333</v>
      </c>
      <c r="D13" s="3">
        <v>1.5666666666666667</v>
      </c>
      <c r="E13" s="3">
        <v>13</v>
      </c>
      <c r="F13">
        <v>375526</v>
      </c>
      <c r="G13">
        <v>47</v>
      </c>
      <c r="H13">
        <v>390</v>
      </c>
    </row>
    <row r="14" spans="1:8" x14ac:dyDescent="0.3">
      <c r="A14" s="11">
        <v>45992</v>
      </c>
      <c r="B14" s="3">
        <v>6.870967741935484</v>
      </c>
      <c r="C14" s="3">
        <v>13855.645161290322</v>
      </c>
      <c r="D14" s="3">
        <v>1.5806451612903225</v>
      </c>
      <c r="E14" s="3">
        <v>11.774193548387096</v>
      </c>
      <c r="F14">
        <v>429525</v>
      </c>
      <c r="G14">
        <v>49</v>
      </c>
      <c r="H14">
        <v>365</v>
      </c>
    </row>
    <row r="15" spans="1:8" x14ac:dyDescent="0.3">
      <c r="A15" s="11"/>
    </row>
    <row r="16" spans="1:8" x14ac:dyDescent="0.3">
      <c r="A16" s="11"/>
    </row>
  </sheetData>
  <mergeCells count="1">
    <mergeCell ref="A1:H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B35D-BF42-4485-B185-A50FAFCF9BD6}">
  <dimension ref="A1:I20"/>
  <sheetViews>
    <sheetView zoomScale="56" workbookViewId="0">
      <selection activeCell="F36" sqref="F36"/>
    </sheetView>
  </sheetViews>
  <sheetFormatPr defaultColWidth="21.44140625" defaultRowHeight="14.4" x14ac:dyDescent="0.3"/>
  <cols>
    <col min="1" max="1" width="7.6640625" bestFit="1" customWidth="1"/>
    <col min="2" max="2" width="23" bestFit="1" customWidth="1"/>
    <col min="3" max="3" width="42.109375" bestFit="1" customWidth="1"/>
    <col min="4" max="4" width="17" bestFit="1" customWidth="1"/>
    <col min="5" max="5" width="19.6640625" bestFit="1" customWidth="1"/>
    <col min="6" max="6" width="40.33203125" bestFit="1" customWidth="1"/>
    <col min="7" max="7" width="22.6640625" bestFit="1" customWidth="1"/>
  </cols>
  <sheetData>
    <row r="1" spans="1:8" x14ac:dyDescent="0.3">
      <c r="A1" s="19" t="s">
        <v>91</v>
      </c>
      <c r="B1" s="19"/>
      <c r="C1" s="19"/>
      <c r="D1" s="19"/>
      <c r="E1" s="19"/>
      <c r="F1" s="19"/>
      <c r="G1" s="19"/>
      <c r="H1" s="19"/>
    </row>
    <row r="2" spans="1:8" x14ac:dyDescent="0.3">
      <c r="A2" s="10" t="s">
        <v>84</v>
      </c>
      <c r="B2" s="10" t="s">
        <v>96</v>
      </c>
      <c r="C2" s="10" t="s">
        <v>98</v>
      </c>
      <c r="D2" s="10" t="s">
        <v>97</v>
      </c>
      <c r="E2" s="10" t="s">
        <v>92</v>
      </c>
      <c r="F2" s="10" t="s">
        <v>99</v>
      </c>
      <c r="G2" s="10" t="s">
        <v>100</v>
      </c>
      <c r="H2" s="10"/>
    </row>
    <row r="3" spans="1:8" x14ac:dyDescent="0.3">
      <c r="A3" s="11">
        <v>45658</v>
      </c>
      <c r="B3" s="9">
        <v>116</v>
      </c>
      <c r="C3" s="9">
        <f xml:space="preserve"> 23*31</f>
        <v>713</v>
      </c>
      <c r="D3" s="14">
        <f>B3/C3</f>
        <v>0.16269284712482468</v>
      </c>
      <c r="E3">
        <v>260977</v>
      </c>
      <c r="F3" s="15">
        <f>E3/C3</f>
        <v>366.0266479663394</v>
      </c>
      <c r="G3">
        <v>329</v>
      </c>
    </row>
    <row r="4" spans="1:8" x14ac:dyDescent="0.3">
      <c r="A4" s="11">
        <v>45689</v>
      </c>
      <c r="B4" s="3">
        <v>167</v>
      </c>
      <c r="C4" s="3">
        <f>23*28</f>
        <v>644</v>
      </c>
      <c r="D4" s="14">
        <f t="shared" ref="D4:D14" si="0">B4/C4</f>
        <v>0.25931677018633542</v>
      </c>
      <c r="E4">
        <v>376570</v>
      </c>
      <c r="F4" s="15">
        <f t="shared" ref="F4:F14" si="1">E4/C4</f>
        <v>584.73602484472053</v>
      </c>
      <c r="G4">
        <v>480</v>
      </c>
    </row>
    <row r="5" spans="1:8" x14ac:dyDescent="0.3">
      <c r="A5" s="11">
        <v>45717</v>
      </c>
      <c r="B5" s="3">
        <v>78</v>
      </c>
      <c r="C5" s="3">
        <f>23*31</f>
        <v>713</v>
      </c>
      <c r="D5" s="14">
        <f t="shared" si="0"/>
        <v>0.1093969144460028</v>
      </c>
      <c r="E5">
        <v>179900</v>
      </c>
      <c r="F5" s="15">
        <f t="shared" si="1"/>
        <v>252.31416549789623</v>
      </c>
      <c r="G5">
        <v>223</v>
      </c>
    </row>
    <row r="6" spans="1:8" x14ac:dyDescent="0.3">
      <c r="A6" s="11">
        <v>45748</v>
      </c>
      <c r="B6" s="3">
        <v>291</v>
      </c>
      <c r="C6" s="3">
        <f>23*30</f>
        <v>690</v>
      </c>
      <c r="D6" s="14">
        <f t="shared" si="0"/>
        <v>0.42173913043478262</v>
      </c>
      <c r="E6">
        <v>669300</v>
      </c>
      <c r="F6" s="15">
        <f t="shared" si="1"/>
        <v>970</v>
      </c>
      <c r="G6">
        <v>847</v>
      </c>
    </row>
    <row r="7" spans="1:8" x14ac:dyDescent="0.3">
      <c r="A7" s="11">
        <v>45778</v>
      </c>
      <c r="B7" s="3">
        <v>415</v>
      </c>
      <c r="C7" s="3">
        <f>23*31</f>
        <v>713</v>
      </c>
      <c r="D7" s="14">
        <f t="shared" si="0"/>
        <v>0.58204768583450206</v>
      </c>
      <c r="E7">
        <v>954500</v>
      </c>
      <c r="F7" s="15">
        <f t="shared" si="1"/>
        <v>1338.7096774193549</v>
      </c>
      <c r="G7">
        <v>1208</v>
      </c>
    </row>
    <row r="8" spans="1:8" x14ac:dyDescent="0.3">
      <c r="A8" s="11">
        <v>45809</v>
      </c>
      <c r="B8" s="3">
        <v>258</v>
      </c>
      <c r="C8" s="3">
        <f>23*30</f>
        <v>690</v>
      </c>
      <c r="D8" s="14">
        <f t="shared" si="0"/>
        <v>0.37391304347826088</v>
      </c>
      <c r="E8">
        <v>535329</v>
      </c>
      <c r="F8" s="15">
        <f t="shared" si="1"/>
        <v>775.83913043478265</v>
      </c>
      <c r="G8">
        <v>637</v>
      </c>
    </row>
    <row r="9" spans="1:8" x14ac:dyDescent="0.3">
      <c r="A9" s="11">
        <v>45839</v>
      </c>
      <c r="B9" s="3">
        <v>334</v>
      </c>
      <c r="C9" s="3">
        <v>713</v>
      </c>
      <c r="D9" s="14">
        <f t="shared" si="0"/>
        <v>0.46844319775596072</v>
      </c>
      <c r="E9">
        <v>577480</v>
      </c>
      <c r="F9" s="15">
        <f t="shared" si="1"/>
        <v>809.92987377279098</v>
      </c>
      <c r="G9">
        <v>813</v>
      </c>
    </row>
    <row r="10" spans="1:8" x14ac:dyDescent="0.3">
      <c r="A10" s="11">
        <v>45870</v>
      </c>
      <c r="B10" s="3">
        <v>223</v>
      </c>
      <c r="C10" s="3">
        <v>690</v>
      </c>
      <c r="D10" s="14">
        <f t="shared" si="0"/>
        <v>0.32318840579710145</v>
      </c>
      <c r="E10">
        <v>485039</v>
      </c>
      <c r="F10" s="15">
        <f t="shared" si="1"/>
        <v>702.95507246376815</v>
      </c>
      <c r="G10">
        <v>575</v>
      </c>
    </row>
    <row r="11" spans="1:8" x14ac:dyDescent="0.3">
      <c r="A11" s="11">
        <v>45901</v>
      </c>
      <c r="B11" s="3">
        <v>216</v>
      </c>
      <c r="C11" s="3">
        <v>713</v>
      </c>
      <c r="D11" s="14">
        <f t="shared" si="0"/>
        <v>0.30294530154277699</v>
      </c>
      <c r="E11">
        <v>362332</v>
      </c>
      <c r="F11" s="15">
        <f t="shared" si="1"/>
        <v>508.17952314165495</v>
      </c>
      <c r="G11">
        <v>423</v>
      </c>
    </row>
    <row r="12" spans="1:8" x14ac:dyDescent="0.3">
      <c r="A12" s="11">
        <v>45931</v>
      </c>
      <c r="B12" s="3">
        <v>250</v>
      </c>
      <c r="C12" s="3">
        <v>690</v>
      </c>
      <c r="D12" s="14">
        <f t="shared" si="0"/>
        <v>0.36231884057971014</v>
      </c>
      <c r="E12">
        <v>452644</v>
      </c>
      <c r="F12" s="15">
        <f t="shared" si="1"/>
        <v>656.00579710144928</v>
      </c>
      <c r="G12">
        <v>514</v>
      </c>
    </row>
    <row r="13" spans="1:8" x14ac:dyDescent="0.3">
      <c r="A13" s="11">
        <v>45962</v>
      </c>
      <c r="B13" s="3">
        <v>206</v>
      </c>
      <c r="C13" s="3">
        <v>713</v>
      </c>
      <c r="D13" s="14">
        <f t="shared" si="0"/>
        <v>0.28892005610098176</v>
      </c>
      <c r="E13">
        <v>375526</v>
      </c>
      <c r="F13" s="15">
        <f t="shared" si="1"/>
        <v>526.6844319775596</v>
      </c>
      <c r="G13">
        <v>437</v>
      </c>
    </row>
    <row r="14" spans="1:8" x14ac:dyDescent="0.3">
      <c r="A14" s="11">
        <v>45992</v>
      </c>
      <c r="B14" s="3">
        <v>213</v>
      </c>
      <c r="C14" s="3">
        <v>690</v>
      </c>
      <c r="D14" s="14">
        <f t="shared" si="0"/>
        <v>0.30869565217391304</v>
      </c>
      <c r="E14">
        <v>429525</v>
      </c>
      <c r="F14" s="15">
        <f t="shared" si="1"/>
        <v>622.5</v>
      </c>
      <c r="G14">
        <v>414</v>
      </c>
    </row>
    <row r="17" spans="1:9" x14ac:dyDescent="0.3">
      <c r="A17" s="13"/>
      <c r="B17" s="13"/>
      <c r="H17" s="19" t="s">
        <v>101</v>
      </c>
      <c r="I17" s="27"/>
    </row>
    <row r="18" spans="1:9" x14ac:dyDescent="0.3">
      <c r="H18" s="26">
        <f>CORREL(B3:B14,G3:G14)</f>
        <v>0.94302850419536222</v>
      </c>
      <c r="I18" s="26"/>
    </row>
    <row r="19" spans="1:9" x14ac:dyDescent="0.3">
      <c r="H19" s="26"/>
      <c r="I19" s="26"/>
    </row>
    <row r="20" spans="1:9" x14ac:dyDescent="0.3">
      <c r="H20" s="26"/>
      <c r="I20" s="26"/>
    </row>
  </sheetData>
  <mergeCells count="3">
    <mergeCell ref="A1:H1"/>
    <mergeCell ref="H18:I20"/>
    <mergeCell ref="H17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 Data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MID TERM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Praharsha</dc:creator>
  <cp:lastModifiedBy>Bala Praharsha</cp:lastModifiedBy>
  <dcterms:created xsi:type="dcterms:W3CDTF">2026-01-04T07:09:21Z</dcterms:created>
  <dcterms:modified xsi:type="dcterms:W3CDTF">2026-03-18T15:54:56Z</dcterms:modified>
</cp:coreProperties>
</file>